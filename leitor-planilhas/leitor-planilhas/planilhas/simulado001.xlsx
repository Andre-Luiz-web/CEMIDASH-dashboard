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nos Geral" sheetId="1" r:id="rId4"/>
    <sheet state="visible" name="ERROS!" sheetId="2" r:id="rId5"/>
    <sheet state="visible" name="3A" sheetId="3" r:id="rId6"/>
    <sheet state="visible" name="3B" sheetId="4" r:id="rId7"/>
    <sheet state="visible" name="3C" sheetId="5" r:id="rId8"/>
    <sheet state="visible" name="3D" sheetId="6" r:id="rId9"/>
  </sheets>
  <definedNames/>
  <calcPr/>
</workbook>
</file>

<file path=xl/sharedStrings.xml><?xml version="1.0" encoding="utf-8"?>
<sst xmlns="http://schemas.openxmlformats.org/spreadsheetml/2006/main" count="6798" uniqueCount="369">
  <si>
    <t>Nº</t>
  </si>
  <si>
    <t>Turma</t>
  </si>
  <si>
    <t>Statrup</t>
  </si>
  <si>
    <t>Estudante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</si>
  <si>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</si>
  <si>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</si>
  <si>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</si>
  <si>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</si>
  <si>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</si>
  <si>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</si>
  <si>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</si>
  <si>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</si>
  <si>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</si>
  <si>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</si>
  <si>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</si>
  <si>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</si>
  <si>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</si>
  <si>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</si>
  <si>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</si>
  <si>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</si>
  <si>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</si>
  <si>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</si>
  <si>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</si>
  <si>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</si>
  <si>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3A</t>
  </si>
  <si>
    <t>07390190</t>
  </si>
  <si>
    <t xml:space="preserve">ANA </t>
  </si>
  <si>
    <t>07390192100</t>
  </si>
  <si>
    <t>B</t>
  </si>
  <si>
    <t>A</t>
  </si>
  <si>
    <t>C</t>
  </si>
  <si>
    <t>D</t>
  </si>
  <si>
    <t>E</t>
  </si>
  <si>
    <t>71237655161</t>
  </si>
  <si>
    <t xml:space="preserve">ANA CLARA </t>
  </si>
  <si>
    <t>06302550165</t>
  </si>
  <si>
    <t xml:space="preserve">ANA LUÍZA </t>
  </si>
  <si>
    <t>09690873148</t>
  </si>
  <si>
    <t>ANDREW LEONARDO LIMA SANTANA PEIXOTO</t>
  </si>
  <si>
    <t>11313724173</t>
  </si>
  <si>
    <t>ANITA GONÇALVES EVANGELISTA</t>
  </si>
  <si>
    <t>09677691163</t>
  </si>
  <si>
    <t>ARTHUR SENA GONÇALVES</t>
  </si>
  <si>
    <t>04418461140</t>
  </si>
  <si>
    <t>ARTHUR VITOR RODRIGUES NAZARO</t>
  </si>
  <si>
    <t>08461753127</t>
  </si>
  <si>
    <t>BEATRIZ NUNES DE CARVALHO</t>
  </si>
  <si>
    <t>10283525142</t>
  </si>
  <si>
    <t>BIANCA ALVES FREIRE</t>
  </si>
  <si>
    <t>07491114105</t>
  </si>
  <si>
    <t>CAIO QUEIROZ DE OLIVEIRA</t>
  </si>
  <si>
    <t>08877303107</t>
  </si>
  <si>
    <t>DANIELE ALVES DE SOUZA</t>
  </si>
  <si>
    <t>05819746112</t>
  </si>
  <si>
    <t>GIULIANO MAGALHÃES OLIVEIRA</t>
  </si>
  <si>
    <t>09076952132</t>
  </si>
  <si>
    <t>GUILHERME CAMPOS ROJAS</t>
  </si>
  <si>
    <t>08186780114</t>
  </si>
  <si>
    <t>GUILHERME DE SOUSA SILVA</t>
  </si>
  <si>
    <t>05732953108</t>
  </si>
  <si>
    <t>HEITOR ROCHA MOREIRA</t>
  </si>
  <si>
    <t>08695966160</t>
  </si>
  <si>
    <t>IZABELLE LETICIA SANTIAGO SOUZA</t>
  </si>
  <si>
    <t>06430383105</t>
  </si>
  <si>
    <t>JOÃO PEDRO FIGUEIRÊDO PEREIRA DE SOUZA E SILVA</t>
  </si>
  <si>
    <t>06795468127</t>
  </si>
  <si>
    <t>JOÃO PEDRO TORRES SILVA</t>
  </si>
  <si>
    <t>09584547100</t>
  </si>
  <si>
    <t>JULIA BEATRIZ LIMA DA SILVA</t>
  </si>
  <si>
    <t>09407597130</t>
  </si>
  <si>
    <t>KAILON VICTOR SIMÃO DA SILVA</t>
  </si>
  <si>
    <t>09353245184</t>
  </si>
  <si>
    <t>KAMILLY APARECIDA LIMA BELCHIOR</t>
  </si>
  <si>
    <t>04326728183</t>
  </si>
  <si>
    <t>KAROLINE MATTOS VILAR DE MEDEIROS</t>
  </si>
  <si>
    <t>08977728142</t>
  </si>
  <si>
    <t>KAUÃ QUEIROZ DE ANDRADE</t>
  </si>
  <si>
    <t>06444799147</t>
  </si>
  <si>
    <t>KELWIN DE OLIVEIRA NUNES</t>
  </si>
  <si>
    <t>06919445123</t>
  </si>
  <si>
    <t>LORRANE MOURA VIEGAS</t>
  </si>
  <si>
    <t>05684438105</t>
  </si>
  <si>
    <t>LUIZA QUEIROZ SILVA</t>
  </si>
  <si>
    <t>09635061102</t>
  </si>
  <si>
    <t>LUIZ FERNANDO DIAS SILVA</t>
  </si>
  <si>
    <t>09151476100</t>
  </si>
  <si>
    <t>MARIA CLARA DAVID SILVA</t>
  </si>
  <si>
    <t>04132774104</t>
  </si>
  <si>
    <t>MARIA EDUARDA DA SILVA COSTA</t>
  </si>
  <si>
    <t>08816774185</t>
  </si>
  <si>
    <t>MATEUS PERES RODRIGUES</t>
  </si>
  <si>
    <t>08727014177</t>
  </si>
  <si>
    <t>OLÍVIA MOURA RODRIGUES</t>
  </si>
  <si>
    <t>05788492165</t>
  </si>
  <si>
    <t>SARAH RODRIGUES DA SILVA</t>
  </si>
  <si>
    <t>04986332171</t>
  </si>
  <si>
    <t>SARAH RODRIGUES MOREIRA</t>
  </si>
  <si>
    <t>09028574107</t>
  </si>
  <si>
    <t>SOFIA MENDES CARDOSO</t>
  </si>
  <si>
    <t>07705837170</t>
  </si>
  <si>
    <t>THAYMMYLLY GABRIELLY SOARES XAVIER</t>
  </si>
  <si>
    <t>09872810117</t>
  </si>
  <si>
    <t>THEO ALEXANDRE DE LIMA SOUZA</t>
  </si>
  <si>
    <t>08661908132</t>
  </si>
  <si>
    <t>THIAGO PEREIRA CASTRO</t>
  </si>
  <si>
    <t>09019945106</t>
  </si>
  <si>
    <t>YASMIN CARDOSO RIBEIRO</t>
  </si>
  <si>
    <t>3B</t>
  </si>
  <si>
    <t>05793405119</t>
  </si>
  <si>
    <t>AMANDA RODRIGUES GOUVEIA</t>
  </si>
  <si>
    <t>09868770181</t>
  </si>
  <si>
    <t>ANA CECÍLIA DE SOUSA LIMA</t>
  </si>
  <si>
    <t>08542442121</t>
  </si>
  <si>
    <t>ANA CLARA MADSON DE BRITO SANTOS</t>
  </si>
  <si>
    <t>07887980143</t>
  </si>
  <si>
    <t>ANA JULIA JUSTINO FERREIRA DO NASCIMENTO</t>
  </si>
  <si>
    <t>06238713194</t>
  </si>
  <si>
    <t>ANA LUÍZA ARAÚJO MACIEL</t>
  </si>
  <si>
    <t>08245489140</t>
  </si>
  <si>
    <t>ANNA LUIZA LINO ASSUNÇÃO</t>
  </si>
  <si>
    <t>09181777159</t>
  </si>
  <si>
    <t>ARTHUR SILVA SOARES</t>
  </si>
  <si>
    <t>05813521143</t>
  </si>
  <si>
    <t>ÁTHYLA ARAÚJO DO NASCIMENTO</t>
  </si>
  <si>
    <t>08500476176</t>
  </si>
  <si>
    <t>BRUNO FERREIRA DA SILVA</t>
  </si>
  <si>
    <t>08384942188</t>
  </si>
  <si>
    <t>CAUÃ DA ROCHA SOUSA</t>
  </si>
  <si>
    <t>07090733130</t>
  </si>
  <si>
    <t>DANIEL CARVALHO DE OLIVEIRA</t>
  </si>
  <si>
    <t>04047837164</t>
  </si>
  <si>
    <t>DAVI TAVARES DE MORAIS</t>
  </si>
  <si>
    <t>70967097118</t>
  </si>
  <si>
    <t>ESTHER VARGAS DORNELES</t>
  </si>
  <si>
    <t>08970355189</t>
  </si>
  <si>
    <t>GUSTAVO MACIEL LOPES</t>
  </si>
  <si>
    <t>07965349183</t>
  </si>
  <si>
    <t>HELLOA SAMILLE RODRIGUES DOS SANTOS</t>
  </si>
  <si>
    <t>08543142105</t>
  </si>
  <si>
    <t>HELOÍSA SOUZA FERNANDES</t>
  </si>
  <si>
    <t>10237382105</t>
  </si>
  <si>
    <t>HIASMIM BENTO DA SILVA</t>
  </si>
  <si>
    <t>05536817108</t>
  </si>
  <si>
    <t>HUGO BOAVENTURA SILVA ARAUJO</t>
  </si>
  <si>
    <t>04760434178</t>
  </si>
  <si>
    <t>ISABELLA SANTOS SEABRA</t>
  </si>
  <si>
    <t>06718130133</t>
  </si>
  <si>
    <t>JOÃO PEDRO DA SILVA OLIVEIRA</t>
  </si>
  <si>
    <t>05403249141</t>
  </si>
  <si>
    <t>KALEBE CARDIAL VIEIRA DOS SANTOS</t>
  </si>
  <si>
    <t>09181820186</t>
  </si>
  <si>
    <t>LETICIA MARÇAL OLIVEIRA</t>
  </si>
  <si>
    <t>11744134170</t>
  </si>
  <si>
    <t>LIVIA NEVES DE SOUSA</t>
  </si>
  <si>
    <t>07637161110</t>
  </si>
  <si>
    <t>LUCAS ALVARO SILVA DOS SANTOS</t>
  </si>
  <si>
    <t>09180723101</t>
  </si>
  <si>
    <t>LUIZ GUSTAVO LOPES BERNARDES</t>
  </si>
  <si>
    <t>06049557152</t>
  </si>
  <si>
    <t>MANUELLA APARECIDA RODRIGUES DE LANA</t>
  </si>
  <si>
    <t>04941410181</t>
  </si>
  <si>
    <t>MARIA CLARA DE MENEZES MEDEIROS</t>
  </si>
  <si>
    <t>05842410117</t>
  </si>
  <si>
    <t>MARIA CLARA DOS SANTOS NICOLAU</t>
  </si>
  <si>
    <t>07470130128</t>
  </si>
  <si>
    <t>MARIA EDUARDA BASILIO LOPES</t>
  </si>
  <si>
    <t>08164218111</t>
  </si>
  <si>
    <t>MURILO ABREU NOGUEIRA</t>
  </si>
  <si>
    <t>09542219156</t>
  </si>
  <si>
    <t>NAYARA CORREIA GOMES</t>
  </si>
  <si>
    <t>05540063163</t>
  </si>
  <si>
    <t>PEDRO LUCAS QUEIROZ SOUZA</t>
  </si>
  <si>
    <t>08691656158</t>
  </si>
  <si>
    <t>RAFAEL DUTRA DA SILVA</t>
  </si>
  <si>
    <t>09316218101</t>
  </si>
  <si>
    <t>RAMON ENZO RODIANE DE OLIVEIRA</t>
  </si>
  <si>
    <t>08926685128</t>
  </si>
  <si>
    <t>SAMUEL MENDES DE LIMA</t>
  </si>
  <si>
    <t>08399622150</t>
  </si>
  <si>
    <t>SARA RODRIGUES DE MEDEIROS</t>
  </si>
  <si>
    <t>06309088181</t>
  </si>
  <si>
    <t>SOFIA MARIA GARCIA RODRIGUES</t>
  </si>
  <si>
    <t>05262315135</t>
  </si>
  <si>
    <t>TAREK AZIZ SILVA ODEH</t>
  </si>
  <si>
    <t>3C</t>
  </si>
  <si>
    <t>07677500129</t>
  </si>
  <si>
    <t>ADRIELLY LOPES GOMES</t>
  </si>
  <si>
    <t>08030821182</t>
  </si>
  <si>
    <t>ANA CLARA HOZANA ANDRADE</t>
  </si>
  <si>
    <t>08595023174</t>
  </si>
  <si>
    <t>ANA CLARA SOARES DE ANDRADE</t>
  </si>
  <si>
    <t>70724510133</t>
  </si>
  <si>
    <t>ANA CLARA SOUZA DE OLIVEIRA</t>
  </si>
  <si>
    <t>05734171131</t>
  </si>
  <si>
    <t>ANA KAROLLYNA CLARAS MARTINS</t>
  </si>
  <si>
    <t>06714872135</t>
  </si>
  <si>
    <t>ARTHUR VITOR DA SILVA NEPOMUCENO</t>
  </si>
  <si>
    <t>04073834177</t>
  </si>
  <si>
    <t>ASSUELQUE ESTRELA DIAS</t>
  </si>
  <si>
    <t>71200003144</t>
  </si>
  <si>
    <t>DAVI DA COSTA COUTRIM</t>
  </si>
  <si>
    <t>70529823152</t>
  </si>
  <si>
    <t>EDUARDO KISLEY PEREIRA COSTANTIN DOS SANTOS</t>
  </si>
  <si>
    <t>05900769143</t>
  </si>
  <si>
    <t>FERNANDA ALVES FERREIRA</t>
  </si>
  <si>
    <t>13925126708</t>
  </si>
  <si>
    <t>GABRIEL MEDEIROS COSTA E SILVA</t>
  </si>
  <si>
    <t>05200809126</t>
  </si>
  <si>
    <t>ISABELLI FERREIRA VASCO</t>
  </si>
  <si>
    <t>06199841123</t>
  </si>
  <si>
    <t>JOÃO HENRIQUE LEITE CAMPOS</t>
  </si>
  <si>
    <t>07741447181</t>
  </si>
  <si>
    <t>JORLANDO GABRIEL OLIVEIRA LEAL</t>
  </si>
  <si>
    <t>09173244120</t>
  </si>
  <si>
    <t>KAIO RAUAN DA SILVA MATIAS</t>
  </si>
  <si>
    <t>07955540107</t>
  </si>
  <si>
    <t>KAUA PEREIRA RODRIGUES DOS SANTOS</t>
  </si>
  <si>
    <t>07474283107</t>
  </si>
  <si>
    <t>KESIA REIS DE ALBUQUERQUE</t>
  </si>
  <si>
    <t>08884095166</t>
  </si>
  <si>
    <t>LETICIA LIZ BENIGNO DA SILVA</t>
  </si>
  <si>
    <t>07981900190</t>
  </si>
  <si>
    <t>LÍDIA VIANA DE LIMA</t>
  </si>
  <si>
    <t>A|D</t>
  </si>
  <si>
    <t>08644553135</t>
  </si>
  <si>
    <t>LORRANE GABRIELE ALVES DE JESUS</t>
  </si>
  <si>
    <t>10338435476</t>
  </si>
  <si>
    <t>LUCAS MENDES DE ALCANTARA NASCIMENTO</t>
  </si>
  <si>
    <t>05468673169</t>
  </si>
  <si>
    <t>LUÍSA DIAS CUNHA</t>
  </si>
  <si>
    <t>06635007105</t>
  </si>
  <si>
    <t>LUIS FELIPE ALVES DOS REIS</t>
  </si>
  <si>
    <t>06938667136</t>
  </si>
  <si>
    <t>MANUELA GOMES DA SILVA</t>
  </si>
  <si>
    <t>08949922100</t>
  </si>
  <si>
    <t>MARIA CLARA ALVES TEIXEIRA COSTA</t>
  </si>
  <si>
    <t>09573902117</t>
  </si>
  <si>
    <t>MARIA CLARA CUNHA AGUIAR</t>
  </si>
  <si>
    <t>09134376119</t>
  </si>
  <si>
    <t>MATHEUS CUTRIM ARRUDA</t>
  </si>
  <si>
    <t>04250255190</t>
  </si>
  <si>
    <t>MIRELY XAVIER DE SOUZA RODRIGUES</t>
  </si>
  <si>
    <t>06477528169</t>
  </si>
  <si>
    <t>MURILO VINÍCIUS MELO SANTANA</t>
  </si>
  <si>
    <t>08992692145</t>
  </si>
  <si>
    <t>PEDRO HENRIQUE EDUARDO RIBEIRO COSTA</t>
  </si>
  <si>
    <t>06335082179</t>
  </si>
  <si>
    <t>RAFAELA BARROS OLIVEIRA</t>
  </si>
  <si>
    <t>06085402180</t>
  </si>
  <si>
    <t>SARA ESTEFANY CARVALHO FERNANDES</t>
  </si>
  <si>
    <t>04462260171</t>
  </si>
  <si>
    <t>SARA VITÓRIA DE OLIVEIRA</t>
  </si>
  <si>
    <t>11134939175</t>
  </si>
  <si>
    <t>STEPHANY SANTANA DE ARAUJO</t>
  </si>
  <si>
    <t>10037260111</t>
  </si>
  <si>
    <t>VINICIUS CASTRO MARTINS</t>
  </si>
  <si>
    <t>07713708146</t>
  </si>
  <si>
    <t>YASMIN MARTINS SOARES DA SILVA</t>
  </si>
  <si>
    <t>3D</t>
  </si>
  <si>
    <t>08885732194</t>
  </si>
  <si>
    <t>ANA CLARA ALVES CARACIOLA CAVALCANTE</t>
  </si>
  <si>
    <t>09763628130</t>
  </si>
  <si>
    <t>ANA LUIZA DE SOUZA BRITO</t>
  </si>
  <si>
    <t>09123634103</t>
  </si>
  <si>
    <t>ANNA VITÓRIA LOPES SOUZA</t>
  </si>
  <si>
    <t>70532963180</t>
  </si>
  <si>
    <t>BIANCA RODRIGUES DA SILVA</t>
  </si>
  <si>
    <t>08577681157</t>
  </si>
  <si>
    <t>CLARA MACENA DA SILVA</t>
  </si>
  <si>
    <t>10997847190</t>
  </si>
  <si>
    <t>DIEGO GRANGEIRO MOREIRA</t>
  </si>
  <si>
    <t>08841360194</t>
  </si>
  <si>
    <t>EDUARDA FERNANDES SEABRA</t>
  </si>
  <si>
    <t>07667106100</t>
  </si>
  <si>
    <t>GABRIELY KAROLAYNE PEREIRA DO NASCIMENTO</t>
  </si>
  <si>
    <t>08393148170</t>
  </si>
  <si>
    <t>GRAZIELA MARINS QUINTINO DE BRITTO</t>
  </si>
  <si>
    <t>10419673148</t>
  </si>
  <si>
    <t>GUILHERME DAVI TÁVORA JACQUES RESENDE</t>
  </si>
  <si>
    <t>09038282192</t>
  </si>
  <si>
    <t>GUSTAVO BAPTISTA SOFIA</t>
  </si>
  <si>
    <t>09182701113</t>
  </si>
  <si>
    <t>HELOISA DE OLIVEIRA DA SILVA</t>
  </si>
  <si>
    <t>11583109609</t>
  </si>
  <si>
    <t>HICARO GOMES CAMARGOS</t>
  </si>
  <si>
    <t>05888528137</t>
  </si>
  <si>
    <t>ISABELY VIEIRA DANTAS</t>
  </si>
  <si>
    <t>07718379175</t>
  </si>
  <si>
    <t>JOÃO EMANUEL ALVES PINHEIRO</t>
  </si>
  <si>
    <t>04487071100</t>
  </si>
  <si>
    <t>JOÃO PEDRO GUIMARÃES GUEDES</t>
  </si>
  <si>
    <t>03852992141</t>
  </si>
  <si>
    <t>JOAO PEDRO MOREIRA MOTA</t>
  </si>
  <si>
    <t>07414640124</t>
  </si>
  <si>
    <t>JÚLIA GABRIELA DA SILVA SANTOS</t>
  </si>
  <si>
    <t>10432390146</t>
  </si>
  <si>
    <t>KAUAN GOMES DE AMORIM LEAL</t>
  </si>
  <si>
    <t>08951431193</t>
  </si>
  <si>
    <t>KAUÊ LUIGGI SILVEIRA ALVES DOS SANTOS</t>
  </si>
  <si>
    <t>07504814121</t>
  </si>
  <si>
    <t>KETELEM YASMIM DE FRANÇA ROCHA</t>
  </si>
  <si>
    <t>05955524126</t>
  </si>
  <si>
    <t>KEVEN CRISTIAN AMANCIO BARBOSA</t>
  </si>
  <si>
    <t>05998562119</t>
  </si>
  <si>
    <t>LAIS DE CASTRO FERNANDES</t>
  </si>
  <si>
    <t>08851770107</t>
  </si>
  <si>
    <t>LARISSA RODRIGUES COELHO</t>
  </si>
  <si>
    <t>05782974184</t>
  </si>
  <si>
    <t>LUIS CARLOS FERREIRA DE SOUSA</t>
  </si>
  <si>
    <t>08724294152</t>
  </si>
  <si>
    <t>MARIA EDUARDA DE JESUS SERAFIM</t>
  </si>
  <si>
    <t>07579097109</t>
  </si>
  <si>
    <t>MARIA LUIZA VIEIRA DE SOUSA</t>
  </si>
  <si>
    <t>05732941193</t>
  </si>
  <si>
    <t>MILENA ROCHA MOREIRA</t>
  </si>
  <si>
    <t>04716939103</t>
  </si>
  <si>
    <t>NICOLAS DE OLIVEIRA NASCIMENTO</t>
  </si>
  <si>
    <t>09809895151</t>
  </si>
  <si>
    <t>PEDRO MIGUEL MADEIRA FLORES</t>
  </si>
  <si>
    <t>08601423108</t>
  </si>
  <si>
    <t>RAFAEL MATA MADERA SAMPAIO</t>
  </si>
  <si>
    <t>42879285801</t>
  </si>
  <si>
    <t>SAMUEL ABNER GOMES IIZUKA</t>
  </si>
  <si>
    <t>07660615157</t>
  </si>
  <si>
    <t>SARAH GOMES ALVES</t>
  </si>
  <si>
    <t>05816646125</t>
  </si>
  <si>
    <t>VINICIUS PONTES BRITO</t>
  </si>
  <si>
    <t>07893589132</t>
  </si>
  <si>
    <t>WENDEL BENICIO DOS SANTOS SILVA</t>
  </si>
  <si>
    <t>3A (36)</t>
  </si>
  <si>
    <t>NOTA</t>
  </si>
  <si>
    <t>SIMULADO SAEB MATEMÁTICA 01/09 (SEGUNDA-FEIRA)</t>
  </si>
  <si>
    <t>CPF</t>
  </si>
  <si>
    <t>NOME</t>
  </si>
  <si>
    <t>00</t>
  </si>
  <si>
    <t>00000000000</t>
  </si>
  <si>
    <t>GABARITO</t>
  </si>
  <si>
    <t>##</t>
  </si>
  <si>
    <t>VALORES</t>
  </si>
  <si>
    <t>TESTE</t>
  </si>
  <si>
    <t>ANA CLARA BATISTA</t>
  </si>
  <si>
    <t>ANA CLARA MACIEL FARIAS</t>
  </si>
  <si>
    <t>ANA LUÍZA ABRANTE DOS SANTOS</t>
  </si>
  <si>
    <t>MÉDIA GERAL DA TURMA</t>
  </si>
  <si>
    <t>ACERTOS</t>
  </si>
  <si>
    <t>ACERTOS (%)</t>
  </si>
  <si>
    <t>ERROS</t>
  </si>
  <si>
    <t>ERROS (%)</t>
  </si>
  <si>
    <t>PARTICIPAÇÃO DA TURMA (%)</t>
  </si>
  <si>
    <t>GERAL (%)</t>
  </si>
  <si>
    <t>ESTUDANTES DA SALA DE RECURSOS</t>
  </si>
  <si>
    <t>OK</t>
  </si>
  <si>
    <t>LANÇAR O GABARITO COM O VALOR DAS QUESTÕES</t>
  </si>
  <si>
    <t>ESTUDANTES ANTENDIDOS PELA ORIENTAÇÃO</t>
  </si>
  <si>
    <t>EDITAR "FORMATAÇÃO CONDICIONAL" NA PLANILHA DE RESPOSTAS E TESTE</t>
  </si>
  <si>
    <t>QUESTÕES LÍNGUA MATEMÁTICA</t>
  </si>
  <si>
    <t>EDITAR PORCENTAGENS DE ERROS E ACERTOS</t>
  </si>
  <si>
    <t>EITAR "FORMATAÇÃO CONDICIONAL" DE VALORES NA PLANILHA DE NOTAS</t>
  </si>
  <si>
    <t>EDITAR QUANTIDADE DE ESTUDANTES</t>
  </si>
  <si>
    <t>N</t>
  </si>
  <si>
    <t>3B (34)</t>
  </si>
  <si>
    <t>3C (35)</t>
  </si>
  <si>
    <t>3D (32)</t>
  </si>
  <si>
    <t>3ºA</t>
  </si>
  <si>
    <t>3º</t>
  </si>
  <si>
    <t>3ºC</t>
  </si>
  <si>
    <t>3ºD</t>
  </si>
  <si>
    <t>Mat</t>
  </si>
  <si>
    <t>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</si>
</sst>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%"/>
  </numFmts>
  <fonts count="18">
    <font>
      <sz val="10.0"/>
      <color rgb="FF000000"/>
      <name val="Arial"/>
      <scheme val="minor"/>
    </font>
    <font>
      <color theme="1"/>
      <name val="Arial"/>
    </font>
    <font>
      <b/>
      <color rgb="FFFF0000"/>
      <name val="Arial"/>
    </font>
    <font>
      <b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FFFFFF"/>
      <name val="Arial"/>
    </font>
    <font>
      <b/>
      <sz val="11.0"/>
      <color theme="1"/>
      <name val="Arial"/>
    </font>
    <font/>
    <font>
      <b/>
      <sz val="11.0"/>
      <color rgb="FFFF0000"/>
      <name val="Arial"/>
    </font>
    <font>
      <sz val="12.0"/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b/>
      <sz val="10.0"/>
      <color rgb="FFFFFFFF"/>
      <name val="Arial"/>
    </font>
    <font>
      <b/>
      <sz val="8.0"/>
      <color rgb="FFFFFFFF"/>
      <name val="Arial"/>
    </font>
    <font>
      <sz val="8.0"/>
      <color theme="1"/>
      <name val="Arial"/>
    </font>
    <font>
      <b/>
      <color rgb="FF0000FF"/>
      <name val="Arial"/>
    </font>
    <font>
      <b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EA4335"/>
        <bgColor rgb="FFEA4335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theme="5"/>
        <bgColor theme="5"/>
      </patternFill>
    </fill>
  </fills>
  <borders count="41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" numFmtId="49" xfId="0" applyAlignment="1" applyFont="1" applyNumberFormat="1">
      <alignment readingOrder="0" vertical="center"/>
    </xf>
    <xf borderId="0" fillId="0" fontId="1" numFmtId="49" xfId="0" applyAlignment="1" applyFont="1" applyNumberFormat="1">
      <alignment vertical="center"/>
    </xf>
    <xf borderId="0" fillId="2" fontId="4" numFmtId="49" xfId="0" applyAlignment="1" applyFill="1" applyFont="1" applyNumberFormat="1">
      <alignment readingOrder="0" vertical="center"/>
    </xf>
    <xf borderId="0" fillId="3" fontId="4" numFmtId="49" xfId="0" applyAlignment="1" applyFill="1" applyFont="1" applyNumberFormat="1">
      <alignment readingOrder="0" vertical="center"/>
    </xf>
    <xf borderId="1" fillId="0" fontId="1" numFmtId="0" xfId="0" applyAlignment="1" applyBorder="1" applyFont="1">
      <alignment horizontal="right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readingOrder="0" vertical="center"/>
    </xf>
    <xf borderId="1" fillId="0" fontId="1" numFmtId="49" xfId="0" applyAlignment="1" applyBorder="1" applyFont="1" applyNumberFormat="1">
      <alignment vertical="center"/>
    </xf>
    <xf borderId="1" fillId="0" fontId="3" numFmtId="49" xfId="0" applyAlignment="1" applyBorder="1" applyFont="1" applyNumberFormat="1">
      <alignment horizontal="center" vertical="center"/>
    </xf>
    <xf borderId="1" fillId="3" fontId="4" numFmtId="49" xfId="0" applyAlignment="1" applyBorder="1" applyFont="1" applyNumberFormat="1">
      <alignment readingOrder="0"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6" numFmtId="49" xfId="0" applyAlignment="1" applyFont="1" applyNumberFormat="1">
      <alignment horizontal="center" vertical="center"/>
    </xf>
    <xf borderId="2" fillId="0" fontId="7" numFmtId="0" xfId="0" applyAlignment="1" applyBorder="1" applyFont="1">
      <alignment horizontal="center" readingOrder="0"/>
    </xf>
    <xf borderId="3" fillId="0" fontId="8" numFmtId="0" xfId="0" applyBorder="1" applyFont="1"/>
    <xf borderId="4" fillId="0" fontId="8" numFmtId="0" xfId="0" applyBorder="1" applyFont="1"/>
    <xf borderId="5" fillId="4" fontId="7" numFmtId="0" xfId="0" applyAlignment="1" applyBorder="1" applyFill="1" applyFont="1">
      <alignment horizontal="center" readingOrder="0" textRotation="255" vertical="center"/>
    </xf>
    <xf borderId="2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/>
    </xf>
    <xf borderId="6" fillId="0" fontId="7" numFmtId="49" xfId="0" applyAlignment="1" applyBorder="1" applyFont="1" applyNumberFormat="1">
      <alignment horizontal="center"/>
    </xf>
    <xf borderId="7" fillId="0" fontId="8" numFmtId="0" xfId="0" applyBorder="1" applyFont="1"/>
    <xf borderId="8" fillId="5" fontId="7" numFmtId="0" xfId="0" applyAlignment="1" applyBorder="1" applyFill="1" applyFont="1">
      <alignment horizontal="center"/>
    </xf>
    <xf borderId="9" fillId="5" fontId="7" numFmtId="0" xfId="0" applyAlignment="1" applyBorder="1" applyFont="1">
      <alignment horizontal="center"/>
    </xf>
    <xf borderId="5" fillId="0" fontId="7" numFmtId="49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10" fillId="4" fontId="7" numFmtId="49" xfId="0" applyAlignment="1" applyBorder="1" applyFont="1" applyNumberFormat="1">
      <alignment horizontal="center" readingOrder="0" vertical="center"/>
    </xf>
    <xf borderId="11" fillId="4" fontId="7" numFmtId="49" xfId="0" applyAlignment="1" applyBorder="1" applyFont="1" applyNumberFormat="1">
      <alignment horizontal="center" readingOrder="0" vertical="center"/>
    </xf>
    <xf borderId="10" fillId="4" fontId="9" numFmtId="49" xfId="0" applyAlignment="1" applyBorder="1" applyFont="1" applyNumberFormat="1">
      <alignment horizontal="center" readingOrder="0" vertical="center"/>
    </xf>
    <xf borderId="12" fillId="0" fontId="7" numFmtId="49" xfId="0" applyAlignment="1" applyBorder="1" applyFont="1" applyNumberFormat="1">
      <alignment horizontal="center" vertical="center"/>
    </xf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8" fillId="4" fontId="7" numFmtId="4" xfId="0" applyAlignment="1" applyBorder="1" applyFont="1" applyNumberFormat="1">
      <alignment horizontal="center" readingOrder="0"/>
    </xf>
    <xf borderId="9" fillId="4" fontId="7" numFmtId="4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/>
    </xf>
    <xf borderId="2" fillId="6" fontId="1" numFmtId="164" xfId="0" applyAlignment="1" applyBorder="1" applyFill="1" applyFont="1" applyNumberFormat="1">
      <alignment horizontal="center" readingOrder="0" vertical="center"/>
    </xf>
    <xf borderId="16" fillId="7" fontId="1" numFmtId="49" xfId="0" applyAlignment="1" applyBorder="1" applyFill="1" applyFont="1" applyNumberFormat="1">
      <alignment horizontal="center" readingOrder="0" vertical="center"/>
    </xf>
    <xf borderId="11" fillId="7" fontId="1" numFmtId="49" xfId="0" applyAlignment="1" applyBorder="1" applyFont="1" applyNumberFormat="1">
      <alignment horizontal="center" readingOrder="0" vertical="center"/>
    </xf>
    <xf borderId="17" fillId="0" fontId="1" numFmtId="0" xfId="0" applyAlignment="1" applyBorder="1" applyFont="1">
      <alignment horizontal="center"/>
    </xf>
    <xf borderId="18" fillId="0" fontId="1" numFmtId="49" xfId="0" applyAlignment="1" applyBorder="1" applyFont="1" applyNumberFormat="1">
      <alignment horizontal="center" readingOrder="0" vertical="center"/>
    </xf>
    <xf borderId="19" fillId="0" fontId="1" numFmtId="49" xfId="0" applyAlignment="1" applyBorder="1" applyFont="1" applyNumberFormat="1">
      <alignment readingOrder="0" vertical="center"/>
    </xf>
    <xf borderId="20" fillId="6" fontId="1" numFmtId="164" xfId="0" applyAlignment="1" applyBorder="1" applyFont="1" applyNumberFormat="1">
      <alignment horizontal="center" readingOrder="0" vertical="center"/>
    </xf>
    <xf borderId="21" fillId="7" fontId="1" numFmtId="49" xfId="0" applyAlignment="1" applyBorder="1" applyFont="1" applyNumberFormat="1">
      <alignment horizontal="center" readingOrder="0" vertical="center"/>
    </xf>
    <xf borderId="18" fillId="7" fontId="1" numFmtId="49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horizontal="center"/>
    </xf>
    <xf borderId="23" fillId="0" fontId="1" numFmtId="49" xfId="0" applyAlignment="1" applyBorder="1" applyFont="1" applyNumberFormat="1">
      <alignment horizontal="center" readingOrder="0" vertical="center"/>
    </xf>
    <xf borderId="24" fillId="0" fontId="1" numFmtId="49" xfId="0" applyAlignment="1" applyBorder="1" applyFont="1" applyNumberFormat="1">
      <alignment readingOrder="0" vertical="center"/>
    </xf>
    <xf borderId="25" fillId="6" fontId="1" numFmtId="164" xfId="0" applyAlignment="1" applyBorder="1" applyFont="1" applyNumberFormat="1">
      <alignment horizontal="center" readingOrder="0" vertical="center"/>
    </xf>
    <xf borderId="24" fillId="2" fontId="4" numFmtId="49" xfId="0" applyAlignment="1" applyBorder="1" applyFont="1" applyNumberFormat="1">
      <alignment readingOrder="0" vertical="center"/>
    </xf>
    <xf borderId="24" fillId="3" fontId="4" numFmtId="49" xfId="0" applyAlignment="1" applyBorder="1" applyFont="1" applyNumberFormat="1">
      <alignment readingOrder="0" vertical="center"/>
    </xf>
    <xf borderId="26" fillId="0" fontId="1" numFmtId="0" xfId="0" applyAlignment="1" applyBorder="1" applyFont="1">
      <alignment horizontal="center"/>
    </xf>
    <xf borderId="27" fillId="0" fontId="1" numFmtId="49" xfId="0" applyAlignment="1" applyBorder="1" applyFont="1" applyNumberFormat="1">
      <alignment horizontal="center" readingOrder="0" vertical="center"/>
    </xf>
    <xf borderId="28" fillId="0" fontId="1" numFmtId="0" xfId="0" applyAlignment="1" applyBorder="1" applyFont="1">
      <alignment horizontal="center"/>
    </xf>
    <xf borderId="29" fillId="0" fontId="1" numFmtId="49" xfId="0" applyAlignment="1" applyBorder="1" applyFont="1" applyNumberFormat="1">
      <alignment horizontal="center" readingOrder="0" vertical="center"/>
    </xf>
    <xf borderId="30" fillId="0" fontId="1" numFmtId="49" xfId="0" applyAlignment="1" applyBorder="1" applyFont="1" applyNumberFormat="1">
      <alignment readingOrder="0" vertical="center"/>
    </xf>
    <xf borderId="15" fillId="6" fontId="1" numFmtId="164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/>
    </xf>
    <xf borderId="0" fillId="0" fontId="10" numFmtId="49" xfId="0" applyAlignment="1" applyFont="1" applyNumberFormat="1">
      <alignment horizontal="center"/>
    </xf>
    <xf borderId="6" fillId="8" fontId="11" numFmtId="0" xfId="0" applyAlignment="1" applyBorder="1" applyFill="1" applyFont="1">
      <alignment readingOrder="0" vertical="bottom"/>
    </xf>
    <xf borderId="6" fillId="8" fontId="11" numFmtId="4" xfId="0" applyAlignment="1" applyBorder="1" applyFont="1" applyNumberFormat="1">
      <alignment horizontal="center" vertical="center"/>
    </xf>
    <xf borderId="0" fillId="0" fontId="12" numFmtId="10" xfId="0" applyAlignment="1" applyFont="1" applyNumberFormat="1">
      <alignment horizontal="center" vertical="bottom"/>
    </xf>
    <xf borderId="0" fillId="0" fontId="10" numFmtId="0" xfId="0" applyFont="1"/>
    <xf borderId="2" fillId="9" fontId="11" numFmtId="0" xfId="0" applyBorder="1" applyFill="1" applyFont="1"/>
    <xf borderId="6" fillId="9" fontId="13" numFmtId="3" xfId="0" applyAlignment="1" applyBorder="1" applyFont="1" applyNumberFormat="1">
      <alignment horizontal="center"/>
    </xf>
    <xf borderId="6" fillId="9" fontId="14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2" fillId="8" fontId="11" numFmtId="0" xfId="0" applyAlignment="1" applyBorder="1" applyFont="1">
      <alignment vertical="bottom"/>
    </xf>
    <xf borderId="2" fillId="8" fontId="12" numFmtId="10" xfId="0" applyAlignment="1" applyBorder="1" applyFont="1" applyNumberFormat="1">
      <alignment horizontal="center" vertical="center"/>
    </xf>
    <xf borderId="2" fillId="8" fontId="12" numFmtId="10" xfId="0" applyAlignment="1" applyBorder="1" applyFont="1" applyNumberFormat="1">
      <alignment horizontal="center" vertical="bottom"/>
    </xf>
    <xf borderId="6" fillId="0" fontId="15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2" fontId="1" numFmtId="0" xfId="0" applyFont="1"/>
    <xf borderId="0" fillId="0" fontId="5" numFmtId="0" xfId="0" applyAlignment="1" applyFont="1">
      <alignment readingOrder="0"/>
    </xf>
    <xf borderId="0" fillId="0" fontId="16" numFmtId="0" xfId="0" applyFont="1"/>
    <xf borderId="0" fillId="3" fontId="1" numFmtId="0" xfId="0" applyFont="1"/>
    <xf borderId="0" fillId="5" fontId="1" numFmtId="0" xfId="0" applyAlignment="1" applyFont="1">
      <alignment readingOrder="0"/>
    </xf>
    <xf borderId="0" fillId="0" fontId="1" numFmtId="0" xfId="0" applyFont="1"/>
    <xf borderId="8" fillId="0" fontId="7" numFmtId="0" xfId="0" applyAlignment="1" applyBorder="1" applyFont="1">
      <alignment horizontal="center"/>
    </xf>
    <xf borderId="9" fillId="0" fontId="7" numFmtId="49" xfId="0" applyAlignment="1" applyBorder="1" applyFont="1" applyNumberFormat="1">
      <alignment horizontal="center"/>
    </xf>
    <xf borderId="31" fillId="0" fontId="7" numFmtId="0" xfId="0" applyAlignment="1" applyBorder="1" applyFont="1">
      <alignment horizontal="center"/>
    </xf>
    <xf borderId="6" fillId="9" fontId="7" numFmtId="0" xfId="0" applyAlignment="1" applyBorder="1" applyFont="1">
      <alignment horizontal="center" readingOrder="0" vertical="center"/>
    </xf>
    <xf borderId="16" fillId="9" fontId="7" numFmtId="0" xfId="0" applyAlignment="1" applyBorder="1" applyFont="1">
      <alignment horizontal="center"/>
    </xf>
    <xf borderId="11" fillId="9" fontId="7" numFmtId="0" xfId="0" applyAlignment="1" applyBorder="1" applyFont="1">
      <alignment horizontal="center"/>
    </xf>
    <xf borderId="6" fillId="0" fontId="7" numFmtId="49" xfId="0" applyAlignment="1" applyBorder="1" applyFont="1" applyNumberFormat="1">
      <alignment horizontal="center" vertical="center"/>
    </xf>
    <xf borderId="5" fillId="0" fontId="7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2" fillId="10" fontId="17" numFmtId="164" xfId="0" applyAlignment="1" applyBorder="1" applyFill="1" applyFont="1" applyNumberFormat="1">
      <alignment horizontal="center" vertical="center"/>
    </xf>
    <xf borderId="16" fillId="10" fontId="17" numFmtId="49" xfId="0" applyAlignment="1" applyBorder="1" applyFont="1" applyNumberFormat="1">
      <alignment horizontal="center" vertical="center"/>
    </xf>
    <xf borderId="11" fillId="10" fontId="17" numFmtId="49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horizontal="center"/>
    </xf>
    <xf borderId="33" fillId="0" fontId="4" numFmtId="164" xfId="0" applyAlignment="1" applyBorder="1" applyFont="1" applyNumberFormat="1">
      <alignment horizontal="center"/>
    </xf>
    <xf borderId="34" fillId="10" fontId="17" numFmtId="164" xfId="0" applyAlignment="1" applyBorder="1" applyFont="1" applyNumberFormat="1">
      <alignment horizontal="center" vertical="center"/>
    </xf>
    <xf borderId="35" fillId="10" fontId="17" numFmtId="49" xfId="0" applyAlignment="1" applyBorder="1" applyFont="1" applyNumberFormat="1">
      <alignment horizontal="center" vertical="center"/>
    </xf>
    <xf borderId="33" fillId="10" fontId="17" numFmtId="49" xfId="0" applyAlignment="1" applyBorder="1" applyFont="1" applyNumberFormat="1">
      <alignment horizontal="center" vertical="center"/>
    </xf>
    <xf borderId="36" fillId="0" fontId="1" numFmtId="0" xfId="0" applyAlignment="1" applyBorder="1" applyFont="1">
      <alignment horizontal="center"/>
    </xf>
    <xf borderId="23" fillId="0" fontId="4" numFmtId="164" xfId="0" applyAlignment="1" applyBorder="1" applyFont="1" applyNumberFormat="1">
      <alignment horizontal="center"/>
    </xf>
    <xf borderId="37" fillId="10" fontId="17" numFmtId="164" xfId="0" applyAlignment="1" applyBorder="1" applyFont="1" applyNumberFormat="1">
      <alignment horizontal="center" vertical="center"/>
    </xf>
    <xf borderId="22" fillId="10" fontId="17" numFmtId="49" xfId="0" applyAlignment="1" applyBorder="1" applyFont="1" applyNumberFormat="1">
      <alignment horizontal="center" vertical="center"/>
    </xf>
    <xf borderId="23" fillId="10" fontId="17" numFmtId="49" xfId="0" applyAlignment="1" applyBorder="1" applyFont="1" applyNumberFormat="1">
      <alignment horizontal="center" vertic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29" fillId="0" fontId="4" numFmtId="164" xfId="0" applyAlignment="1" applyBorder="1" applyFont="1" applyNumberFormat="1">
      <alignment horizontal="center"/>
    </xf>
    <xf borderId="40" fillId="10" fontId="17" numFmtId="164" xfId="0" applyAlignment="1" applyBorder="1" applyFont="1" applyNumberFormat="1">
      <alignment horizontal="center" vertical="center"/>
    </xf>
    <xf borderId="28" fillId="10" fontId="17" numFmtId="49" xfId="0" applyAlignment="1" applyBorder="1" applyFont="1" applyNumberFormat="1">
      <alignment horizontal="center" vertical="center"/>
    </xf>
    <xf borderId="29" fillId="10" fontId="17" numFmtId="49" xfId="0" applyAlignment="1" applyBorder="1" applyFont="1" applyNumberFormat="1">
      <alignment horizontal="center" vertical="center"/>
    </xf>
    <xf borderId="15" fillId="8" fontId="12" numFmtId="164" xfId="0" applyAlignment="1" applyBorder="1" applyFont="1" applyNumberFormat="1">
      <alignment horizontal="center"/>
    </xf>
    <xf borderId="18" fillId="7" fontId="1" numFmtId="49" xfId="0" applyAlignment="1" applyBorder="1" applyFont="1" applyNumberFormat="1">
      <alignment horizontal="center" vertical="center"/>
    </xf>
    <xf borderId="30" fillId="3" fontId="4" numFmtId="49" xfId="0" applyAlignment="1" applyBorder="1" applyFont="1" applyNumberFormat="1">
      <alignment readingOrder="0" vertical="center"/>
    </xf>
    <xf borderId="3" fillId="8" fontId="11" numFmtId="4" xfId="0" applyAlignment="1" applyBorder="1" applyFont="1" applyNumberFormat="1">
      <alignment vertical="bottom"/>
    </xf>
    <xf borderId="6" fillId="0" fontId="15" numFmtId="165" xfId="0" applyBorder="1" applyFont="1" applyNumberFormat="1"/>
    <xf borderId="19" fillId="3" fontId="4" numFmtId="49" xfId="0" applyAlignment="1" applyBorder="1" applyFont="1" applyNumberFormat="1">
      <alignment readingOrder="0" vertical="center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11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0000FF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>
        <b/>
        <color rgb="FFFF0000"/>
      </font>
      <fill>
        <patternFill patternType="solid">
          <fgColor rgb="FFB7E1CD"/>
          <bgColor rgb="FFB7E1CD"/>
        </patternFill>
      </fill>
      <border/>
    </dxf>
    <dxf>
      <font>
        <b/>
        <color rgb="FF0000FF"/>
      </font>
      <fill>
        <patternFill patternType="solid">
          <fgColor rgb="FFEA4335"/>
          <bgColor rgb="FFEA4335"/>
        </patternFill>
      </fill>
      <border/>
    </dxf>
    <dxf>
      <font>
        <b/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5.75"/>
    <col customWidth="1" min="3" max="3" width="11.25"/>
    <col customWidth="1" min="4" max="4" width="54.88"/>
    <col customWidth="1" min="5" max="6" width="2.88"/>
    <col customWidth="1" min="7" max="7" width="11.25"/>
    <col customWidth="1" min="8" max="27" width="3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/>
      <c r="F1" s="5"/>
      <c r="G1" s="6"/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</row>
    <row r="2" ht="15.75" customHeight="1">
      <c r="A2" s="7">
        <v>1.0</v>
      </c>
      <c r="B2" s="2" t="s">
        <v>24</v>
      </c>
      <c r="C2" s="3" t="s">
        <v>25</v>
      </c>
      <c r="D2" s="8" t="s">
        <v>26</v>
      </c>
      <c r="E2" s="9"/>
      <c r="F2" s="5">
        <f t="shared" ref="F2:F148" si="1">G2-C2</f>
        <v>7382801910</v>
      </c>
      <c r="G2" s="8" t="s">
        <v>27</v>
      </c>
      <c r="H2" s="3" t="s">
        <v>28</v>
      </c>
      <c r="I2" s="3" t="s">
        <v>28</v>
      </c>
      <c r="J2" s="3" t="s">
        <v>29</v>
      </c>
      <c r="K2" s="3" t="s">
        <v>28</v>
      </c>
      <c r="L2" s="3" t="s">
        <v>29</v>
      </c>
      <c r="M2" s="3" t="s">
        <v>30</v>
      </c>
      <c r="N2" s="3" t="s">
        <v>30</v>
      </c>
      <c r="O2" s="3" t="s">
        <v>31</v>
      </c>
      <c r="P2" s="3" t="s">
        <v>28</v>
      </c>
      <c r="Q2" s="3" t="s">
        <v>30</v>
      </c>
      <c r="R2" s="3" t="s">
        <v>32</v>
      </c>
      <c r="S2" s="3" t="s">
        <v>28</v>
      </c>
      <c r="T2" s="3" t="s">
        <v>31</v>
      </c>
      <c r="U2" s="3" t="s">
        <v>31</v>
      </c>
      <c r="V2" s="3" t="s">
        <v>29</v>
      </c>
      <c r="W2" s="3" t="s">
        <v>30</v>
      </c>
      <c r="X2" s="3" t="s">
        <v>32</v>
      </c>
      <c r="Y2" s="3" t="s">
        <v>28</v>
      </c>
      <c r="Z2" s="3" t="s">
        <v>30</v>
      </c>
      <c r="AA2" s="3" t="s">
        <v>28</v>
      </c>
    </row>
    <row r="3" ht="15.75" customHeight="1">
      <c r="A3" s="7">
        <v>2.0</v>
      </c>
      <c r="B3" s="2" t="s">
        <v>24</v>
      </c>
      <c r="C3" s="3" t="s">
        <v>33</v>
      </c>
      <c r="D3" s="8" t="s">
        <v>34</v>
      </c>
      <c r="E3" s="9"/>
      <c r="F3" s="5">
        <f t="shared" si="1"/>
        <v>0</v>
      </c>
      <c r="G3" s="8" t="s">
        <v>33</v>
      </c>
      <c r="H3" s="3" t="s">
        <v>30</v>
      </c>
      <c r="I3" s="3" t="s">
        <v>28</v>
      </c>
      <c r="J3" s="3" t="s">
        <v>29</v>
      </c>
      <c r="K3" s="3" t="s">
        <v>31</v>
      </c>
      <c r="L3" s="3" t="s">
        <v>28</v>
      </c>
      <c r="M3" s="3" t="s">
        <v>32</v>
      </c>
      <c r="N3" s="3" t="s">
        <v>30</v>
      </c>
      <c r="O3" s="3" t="s">
        <v>30</v>
      </c>
      <c r="P3" s="3" t="s">
        <v>31</v>
      </c>
      <c r="Q3" s="3" t="s">
        <v>32</v>
      </c>
      <c r="R3" s="3" t="s">
        <v>29</v>
      </c>
      <c r="S3" s="3" t="s">
        <v>30</v>
      </c>
      <c r="T3" s="3" t="s">
        <v>28</v>
      </c>
      <c r="U3" s="3" t="s">
        <v>31</v>
      </c>
      <c r="V3" s="3" t="s">
        <v>29</v>
      </c>
      <c r="W3" s="3" t="s">
        <v>28</v>
      </c>
      <c r="X3" s="3" t="s">
        <v>30</v>
      </c>
      <c r="Y3" s="3" t="s">
        <v>32</v>
      </c>
      <c r="Z3" s="3" t="s">
        <v>29</v>
      </c>
      <c r="AA3" s="3" t="s">
        <v>30</v>
      </c>
    </row>
    <row r="4" ht="15.75" customHeight="1">
      <c r="A4" s="7">
        <v>3.0</v>
      </c>
      <c r="B4" s="2" t="s">
        <v>24</v>
      </c>
      <c r="C4" s="3" t="s">
        <v>35</v>
      </c>
      <c r="D4" s="8" t="s">
        <v>36</v>
      </c>
      <c r="E4" s="9"/>
      <c r="F4" s="5">
        <f t="shared" si="1"/>
        <v>0</v>
      </c>
      <c r="G4" s="8" t="s">
        <v>35</v>
      </c>
      <c r="H4" s="3" t="s">
        <v>29</v>
      </c>
      <c r="I4" s="3" t="s">
        <v>28</v>
      </c>
      <c r="J4" s="3" t="s">
        <v>32</v>
      </c>
      <c r="K4" s="3" t="s">
        <v>28</v>
      </c>
      <c r="L4" s="3" t="s">
        <v>28</v>
      </c>
      <c r="M4" s="3" t="s">
        <v>28</v>
      </c>
      <c r="N4" s="3" t="s">
        <v>31</v>
      </c>
      <c r="O4" s="3" t="s">
        <v>31</v>
      </c>
      <c r="P4" s="3" t="s">
        <v>28</v>
      </c>
      <c r="Q4" s="3" t="s">
        <v>30</v>
      </c>
      <c r="R4" s="3" t="s">
        <v>32</v>
      </c>
      <c r="S4" s="3" t="s">
        <v>28</v>
      </c>
      <c r="T4" s="3" t="s">
        <v>31</v>
      </c>
      <c r="U4" s="3" t="s">
        <v>31</v>
      </c>
      <c r="V4" s="3" t="s">
        <v>30</v>
      </c>
      <c r="W4" s="3" t="s">
        <v>31</v>
      </c>
      <c r="X4" s="3" t="s">
        <v>31</v>
      </c>
      <c r="Y4" s="3" t="s">
        <v>31</v>
      </c>
      <c r="Z4" s="3" t="s">
        <v>31</v>
      </c>
      <c r="AA4" s="3" t="s">
        <v>28</v>
      </c>
    </row>
    <row r="5" ht="15.75" customHeight="1">
      <c r="A5" s="7">
        <v>4.0</v>
      </c>
      <c r="B5" s="2" t="s">
        <v>24</v>
      </c>
      <c r="C5" s="3" t="s">
        <v>37</v>
      </c>
      <c r="D5" s="8" t="s">
        <v>38</v>
      </c>
      <c r="E5" s="9"/>
      <c r="F5" s="5">
        <f t="shared" si="1"/>
        <v>0</v>
      </c>
      <c r="G5" s="8" t="s">
        <v>37</v>
      </c>
      <c r="H5" s="3" t="s">
        <v>29</v>
      </c>
      <c r="I5" s="3" t="s">
        <v>28</v>
      </c>
      <c r="J5" s="3" t="s">
        <v>30</v>
      </c>
      <c r="K5" s="3" t="s">
        <v>28</v>
      </c>
      <c r="L5" s="3" t="s">
        <v>28</v>
      </c>
      <c r="M5" s="3" t="s">
        <v>32</v>
      </c>
      <c r="N5" s="3" t="s">
        <v>31</v>
      </c>
      <c r="O5" s="3" t="s">
        <v>31</v>
      </c>
      <c r="P5" s="3" t="s">
        <v>28</v>
      </c>
      <c r="Q5" s="3" t="s">
        <v>30</v>
      </c>
      <c r="R5" s="3" t="s">
        <v>31</v>
      </c>
      <c r="S5" s="3" t="s">
        <v>28</v>
      </c>
      <c r="T5" s="3" t="s">
        <v>31</v>
      </c>
      <c r="U5" s="3" t="s">
        <v>32</v>
      </c>
      <c r="V5" s="3" t="s">
        <v>30</v>
      </c>
      <c r="W5" s="3" t="s">
        <v>32</v>
      </c>
      <c r="X5" s="3" t="s">
        <v>31</v>
      </c>
      <c r="Y5" s="3" t="s">
        <v>31</v>
      </c>
      <c r="Z5" s="3" t="s">
        <v>31</v>
      </c>
      <c r="AA5" s="3" t="s">
        <v>30</v>
      </c>
    </row>
    <row r="6" ht="15.75" customHeight="1">
      <c r="A6" s="7">
        <v>5.0</v>
      </c>
      <c r="B6" s="2" t="s">
        <v>24</v>
      </c>
      <c r="C6" s="3" t="s">
        <v>39</v>
      </c>
      <c r="D6" s="8" t="s">
        <v>40</v>
      </c>
      <c r="E6" s="9"/>
      <c r="F6" s="5">
        <f t="shared" si="1"/>
        <v>0</v>
      </c>
      <c r="G6" s="8" t="s">
        <v>39</v>
      </c>
      <c r="H6" s="3" t="s">
        <v>29</v>
      </c>
      <c r="I6" s="3" t="s">
        <v>28</v>
      </c>
      <c r="J6" s="3" t="s">
        <v>32</v>
      </c>
      <c r="K6" s="3" t="s">
        <v>28</v>
      </c>
      <c r="L6" s="3" t="s">
        <v>30</v>
      </c>
      <c r="M6" s="3" t="s">
        <v>29</v>
      </c>
      <c r="N6" s="3" t="s">
        <v>28</v>
      </c>
      <c r="O6" s="3" t="s">
        <v>31</v>
      </c>
      <c r="P6" s="3" t="s">
        <v>31</v>
      </c>
      <c r="Q6" s="3" t="s">
        <v>28</v>
      </c>
      <c r="R6" s="3" t="s">
        <v>32</v>
      </c>
      <c r="S6" s="3" t="s">
        <v>28</v>
      </c>
      <c r="T6" s="3" t="s">
        <v>31</v>
      </c>
      <c r="U6" s="3" t="s">
        <v>31</v>
      </c>
      <c r="V6" s="3" t="s">
        <v>30</v>
      </c>
      <c r="W6" s="3" t="s">
        <v>28</v>
      </c>
      <c r="X6" s="3" t="s">
        <v>32</v>
      </c>
      <c r="Y6" s="3" t="s">
        <v>28</v>
      </c>
      <c r="Z6" s="3" t="s">
        <v>31</v>
      </c>
      <c r="AA6" s="3" t="s">
        <v>28</v>
      </c>
    </row>
    <row r="7" ht="15.75" customHeight="1">
      <c r="A7" s="7">
        <v>6.0</v>
      </c>
      <c r="B7" s="2" t="s">
        <v>24</v>
      </c>
      <c r="C7" s="3" t="s">
        <v>41</v>
      </c>
      <c r="D7" s="8" t="s">
        <v>42</v>
      </c>
      <c r="E7" s="4"/>
      <c r="F7" s="5">
        <f t="shared" si="1"/>
        <v>-9677691163</v>
      </c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7">
        <v>7.0</v>
      </c>
      <c r="B8" s="2" t="s">
        <v>24</v>
      </c>
      <c r="C8" s="3" t="s">
        <v>43</v>
      </c>
      <c r="D8" s="8" t="s">
        <v>44</v>
      </c>
      <c r="E8" s="9"/>
      <c r="F8" s="5">
        <f t="shared" si="1"/>
        <v>0</v>
      </c>
      <c r="G8" s="8" t="s">
        <v>43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30</v>
      </c>
      <c r="P8" s="3" t="s">
        <v>28</v>
      </c>
      <c r="Q8" s="3" t="s">
        <v>28</v>
      </c>
      <c r="R8" s="3" t="s">
        <v>32</v>
      </c>
      <c r="S8" s="3" t="s">
        <v>28</v>
      </c>
      <c r="T8" s="3" t="s">
        <v>31</v>
      </c>
      <c r="U8" s="3" t="s">
        <v>31</v>
      </c>
      <c r="V8" s="3" t="s">
        <v>30</v>
      </c>
      <c r="W8" s="3" t="s">
        <v>29</v>
      </c>
      <c r="X8" s="3" t="s">
        <v>30</v>
      </c>
      <c r="Y8" s="3" t="s">
        <v>28</v>
      </c>
      <c r="Z8" s="3" t="s">
        <v>29</v>
      </c>
      <c r="AA8" s="3" t="s">
        <v>28</v>
      </c>
    </row>
    <row r="9" ht="15.75" customHeight="1">
      <c r="A9" s="7">
        <v>8.0</v>
      </c>
      <c r="B9" s="2" t="s">
        <v>24</v>
      </c>
      <c r="C9" s="3" t="s">
        <v>45</v>
      </c>
      <c r="D9" s="8" t="s">
        <v>46</v>
      </c>
      <c r="E9" s="9"/>
      <c r="F9" s="5">
        <f t="shared" si="1"/>
        <v>0</v>
      </c>
      <c r="G9" s="8" t="s">
        <v>45</v>
      </c>
      <c r="H9" s="3" t="s">
        <v>28</v>
      </c>
      <c r="I9" s="3" t="s">
        <v>28</v>
      </c>
      <c r="J9" s="3" t="s">
        <v>31</v>
      </c>
      <c r="K9" s="3" t="s">
        <v>28</v>
      </c>
      <c r="L9" s="3" t="s">
        <v>29</v>
      </c>
      <c r="M9" s="3" t="s">
        <v>32</v>
      </c>
      <c r="N9" s="3" t="s">
        <v>31</v>
      </c>
      <c r="O9" s="3" t="s">
        <v>28</v>
      </c>
      <c r="P9" s="3" t="s">
        <v>28</v>
      </c>
      <c r="Q9" s="3" t="s">
        <v>30</v>
      </c>
      <c r="R9" s="3" t="s">
        <v>32</v>
      </c>
      <c r="S9" s="3" t="s">
        <v>28</v>
      </c>
      <c r="T9" s="3" t="s">
        <v>31</v>
      </c>
      <c r="U9" s="3" t="s">
        <v>31</v>
      </c>
      <c r="V9" s="3" t="s">
        <v>31</v>
      </c>
      <c r="W9" s="3" t="s">
        <v>28</v>
      </c>
      <c r="X9" s="3" t="s">
        <v>31</v>
      </c>
      <c r="Y9" s="3" t="s">
        <v>32</v>
      </c>
      <c r="Z9" s="3" t="s">
        <v>30</v>
      </c>
      <c r="AA9" s="3" t="s">
        <v>30</v>
      </c>
    </row>
    <row r="10" ht="15.75" customHeight="1">
      <c r="A10" s="7">
        <v>9.0</v>
      </c>
      <c r="B10" s="2" t="s">
        <v>24</v>
      </c>
      <c r="C10" s="3" t="s">
        <v>47</v>
      </c>
      <c r="D10" s="8" t="s">
        <v>48</v>
      </c>
      <c r="E10" s="9"/>
      <c r="F10" s="5">
        <f t="shared" si="1"/>
        <v>0</v>
      </c>
      <c r="G10" s="3" t="s">
        <v>47</v>
      </c>
      <c r="H10" s="3" t="s">
        <v>29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29</v>
      </c>
      <c r="N10" s="3" t="s">
        <v>29</v>
      </c>
      <c r="O10" s="3" t="s">
        <v>30</v>
      </c>
      <c r="P10" s="3" t="s">
        <v>28</v>
      </c>
      <c r="Q10" s="3" t="s">
        <v>30</v>
      </c>
      <c r="R10" s="3" t="s">
        <v>32</v>
      </c>
      <c r="S10" s="3" t="s">
        <v>28</v>
      </c>
      <c r="T10" s="3" t="s">
        <v>31</v>
      </c>
      <c r="U10" s="3" t="s">
        <v>29</v>
      </c>
      <c r="V10" s="3" t="s">
        <v>28</v>
      </c>
      <c r="W10" s="3" t="s">
        <v>29</v>
      </c>
      <c r="X10" s="3" t="s">
        <v>31</v>
      </c>
      <c r="Y10" s="3" t="s">
        <v>28</v>
      </c>
      <c r="Z10" s="3" t="s">
        <v>31</v>
      </c>
      <c r="AA10" s="3" t="s">
        <v>28</v>
      </c>
    </row>
    <row r="11" ht="15.75" customHeight="1">
      <c r="A11" s="7">
        <v>10.0</v>
      </c>
      <c r="B11" s="2" t="s">
        <v>24</v>
      </c>
      <c r="C11" s="3" t="s">
        <v>49</v>
      </c>
      <c r="D11" s="8" t="s">
        <v>50</v>
      </c>
      <c r="E11" s="4"/>
      <c r="F11" s="5">
        <f t="shared" si="1"/>
        <v>0</v>
      </c>
      <c r="G11" s="3" t="s">
        <v>49</v>
      </c>
      <c r="H11" s="3" t="s">
        <v>29</v>
      </c>
      <c r="I11" s="3" t="s">
        <v>29</v>
      </c>
      <c r="J11" s="3" t="s">
        <v>30</v>
      </c>
      <c r="K11" s="3" t="s">
        <v>28</v>
      </c>
      <c r="L11" s="3" t="s">
        <v>28</v>
      </c>
      <c r="M11" s="3" t="s">
        <v>28</v>
      </c>
      <c r="N11" s="3" t="s">
        <v>30</v>
      </c>
      <c r="O11" s="3" t="s">
        <v>31</v>
      </c>
      <c r="P11" s="3" t="s">
        <v>28</v>
      </c>
      <c r="Q11" s="3" t="s">
        <v>30</v>
      </c>
      <c r="R11" s="3" t="s">
        <v>32</v>
      </c>
      <c r="S11" s="3" t="s">
        <v>28</v>
      </c>
      <c r="T11" s="3" t="s">
        <v>31</v>
      </c>
      <c r="U11" s="3" t="s">
        <v>32</v>
      </c>
      <c r="V11" s="3" t="s">
        <v>30</v>
      </c>
      <c r="W11" s="3" t="s">
        <v>32</v>
      </c>
      <c r="X11" s="3" t="s">
        <v>31</v>
      </c>
      <c r="Y11" s="3" t="s">
        <v>31</v>
      </c>
      <c r="Z11" s="3" t="s">
        <v>30</v>
      </c>
      <c r="AA11" s="3" t="s">
        <v>28</v>
      </c>
    </row>
    <row r="12" ht="15.75" customHeight="1">
      <c r="A12" s="7">
        <v>11.0</v>
      </c>
      <c r="B12" s="2" t="s">
        <v>24</v>
      </c>
      <c r="C12" s="3" t="s">
        <v>51</v>
      </c>
      <c r="D12" s="8" t="s">
        <v>52</v>
      </c>
      <c r="E12" s="9"/>
      <c r="F12" s="5">
        <f t="shared" si="1"/>
        <v>0</v>
      </c>
      <c r="G12" s="3" t="s">
        <v>51</v>
      </c>
      <c r="H12" s="3" t="s">
        <v>28</v>
      </c>
      <c r="I12" s="3" t="s">
        <v>28</v>
      </c>
      <c r="J12" s="3" t="s">
        <v>30</v>
      </c>
      <c r="K12" s="3" t="s">
        <v>28</v>
      </c>
      <c r="L12" s="3" t="s">
        <v>28</v>
      </c>
      <c r="M12" s="3" t="s">
        <v>28</v>
      </c>
      <c r="N12" s="3" t="s">
        <v>29</v>
      </c>
      <c r="O12" s="3" t="s">
        <v>28</v>
      </c>
      <c r="P12" s="3" t="s">
        <v>29</v>
      </c>
      <c r="Q12" s="3" t="s">
        <v>30</v>
      </c>
      <c r="R12" s="3" t="s">
        <v>32</v>
      </c>
      <c r="S12" s="3" t="s">
        <v>28</v>
      </c>
      <c r="T12" s="3" t="s">
        <v>31</v>
      </c>
      <c r="U12" s="3" t="s">
        <v>31</v>
      </c>
      <c r="V12" s="3" t="s">
        <v>30</v>
      </c>
      <c r="W12" s="3" t="s">
        <v>28</v>
      </c>
      <c r="X12" s="3" t="s">
        <v>31</v>
      </c>
      <c r="Y12" s="3" t="s">
        <v>32</v>
      </c>
      <c r="Z12" s="3" t="s">
        <v>28</v>
      </c>
      <c r="AA12" s="3" t="s">
        <v>29</v>
      </c>
    </row>
    <row r="13" ht="15.75" customHeight="1">
      <c r="A13" s="7">
        <v>12.0</v>
      </c>
      <c r="B13" s="2" t="s">
        <v>24</v>
      </c>
      <c r="C13" s="3" t="s">
        <v>53</v>
      </c>
      <c r="D13" s="10" t="s">
        <v>54</v>
      </c>
      <c r="E13" s="9"/>
      <c r="F13" s="5">
        <f t="shared" si="1"/>
        <v>0</v>
      </c>
      <c r="G13" s="8" t="s">
        <v>53</v>
      </c>
      <c r="H13" s="3" t="s">
        <v>30</v>
      </c>
      <c r="I13" s="3" t="s">
        <v>29</v>
      </c>
      <c r="J13" s="3" t="s">
        <v>31</v>
      </c>
      <c r="K13" s="3" t="s">
        <v>28</v>
      </c>
      <c r="L13" s="3" t="s">
        <v>32</v>
      </c>
      <c r="M13" s="3" t="s">
        <v>30</v>
      </c>
      <c r="N13" s="3" t="s">
        <v>31</v>
      </c>
      <c r="O13" s="3" t="s">
        <v>30</v>
      </c>
      <c r="P13" s="3" t="s">
        <v>28</v>
      </c>
      <c r="Q13" s="3" t="s">
        <v>32</v>
      </c>
      <c r="R13" s="3" t="s">
        <v>32</v>
      </c>
      <c r="S13" s="3" t="s">
        <v>28</v>
      </c>
      <c r="T13" s="3" t="s">
        <v>31</v>
      </c>
      <c r="U13" s="3" t="s">
        <v>32</v>
      </c>
      <c r="V13" s="3" t="s">
        <v>30</v>
      </c>
      <c r="W13" s="3" t="s">
        <v>28</v>
      </c>
      <c r="X13" s="3" t="s">
        <v>31</v>
      </c>
      <c r="Y13" s="3" t="s">
        <v>28</v>
      </c>
      <c r="Z13" s="3" t="s">
        <v>31</v>
      </c>
      <c r="AA13" s="3" t="s">
        <v>29</v>
      </c>
    </row>
    <row r="14" ht="15.75" customHeight="1">
      <c r="A14" s="7">
        <v>13.0</v>
      </c>
      <c r="B14" s="2" t="s">
        <v>24</v>
      </c>
      <c r="C14" s="3" t="s">
        <v>55</v>
      </c>
      <c r="D14" s="8" t="s">
        <v>56</v>
      </c>
      <c r="E14" s="9"/>
      <c r="F14" s="5">
        <f t="shared" si="1"/>
        <v>0</v>
      </c>
      <c r="G14" s="8" t="s">
        <v>55</v>
      </c>
      <c r="H14" s="3" t="s">
        <v>31</v>
      </c>
      <c r="I14" s="3" t="s">
        <v>28</v>
      </c>
      <c r="J14" s="3" t="s">
        <v>32</v>
      </c>
      <c r="K14" s="3" t="s">
        <v>28</v>
      </c>
      <c r="L14" s="3" t="s">
        <v>29</v>
      </c>
      <c r="M14" s="3" t="s">
        <v>29</v>
      </c>
      <c r="N14" s="3" t="s">
        <v>28</v>
      </c>
      <c r="O14" s="3" t="s">
        <v>28</v>
      </c>
      <c r="P14" s="3" t="s">
        <v>28</v>
      </c>
      <c r="Q14" s="3" t="s">
        <v>30</v>
      </c>
      <c r="R14" s="3" t="s">
        <v>32</v>
      </c>
      <c r="S14" s="3" t="s">
        <v>28</v>
      </c>
      <c r="T14" s="3" t="s">
        <v>31</v>
      </c>
      <c r="U14" s="3" t="s">
        <v>32</v>
      </c>
      <c r="V14" s="3" t="s">
        <v>30</v>
      </c>
      <c r="W14" s="3" t="s">
        <v>28</v>
      </c>
      <c r="X14" s="3" t="s">
        <v>31</v>
      </c>
      <c r="Y14" s="3" t="s">
        <v>32</v>
      </c>
      <c r="Z14" s="3" t="s">
        <v>29</v>
      </c>
      <c r="AA14" s="3" t="s">
        <v>32</v>
      </c>
    </row>
    <row r="15" ht="15.75" customHeight="1">
      <c r="A15" s="7">
        <v>14.0</v>
      </c>
      <c r="B15" s="2" t="s">
        <v>24</v>
      </c>
      <c r="C15" s="3" t="s">
        <v>57</v>
      </c>
      <c r="D15" s="8" t="s">
        <v>58</v>
      </c>
      <c r="E15" s="9"/>
      <c r="F15" s="5">
        <f t="shared" si="1"/>
        <v>0</v>
      </c>
      <c r="G15" s="8" t="s">
        <v>57</v>
      </c>
      <c r="H15" s="3" t="s">
        <v>31</v>
      </c>
      <c r="I15" s="3" t="s">
        <v>30</v>
      </c>
      <c r="J15" s="3" t="s">
        <v>32</v>
      </c>
      <c r="K15" s="3" t="s">
        <v>28</v>
      </c>
      <c r="L15" s="3" t="s">
        <v>28</v>
      </c>
      <c r="M15" s="3" t="s">
        <v>28</v>
      </c>
      <c r="N15" s="3" t="s">
        <v>28</v>
      </c>
      <c r="O15" s="3" t="s">
        <v>31</v>
      </c>
      <c r="P15" s="3" t="s">
        <v>28</v>
      </c>
      <c r="Q15" s="3" t="s">
        <v>31</v>
      </c>
      <c r="R15" s="3" t="s">
        <v>32</v>
      </c>
      <c r="S15" s="3" t="s">
        <v>32</v>
      </c>
      <c r="T15" s="3" t="s">
        <v>30</v>
      </c>
      <c r="U15" s="3" t="s">
        <v>32</v>
      </c>
      <c r="V15" s="3" t="s">
        <v>29</v>
      </c>
      <c r="W15" s="3" t="s">
        <v>32</v>
      </c>
      <c r="X15" s="3" t="s">
        <v>31</v>
      </c>
      <c r="Y15" s="3" t="s">
        <v>28</v>
      </c>
      <c r="Z15" s="3" t="s">
        <v>31</v>
      </c>
      <c r="AA15" s="3" t="s">
        <v>28</v>
      </c>
    </row>
    <row r="16" ht="15.75" customHeight="1">
      <c r="A16" s="7">
        <v>15.0</v>
      </c>
      <c r="B16" s="2" t="s">
        <v>24</v>
      </c>
      <c r="C16" s="3" t="s">
        <v>59</v>
      </c>
      <c r="D16" s="8" t="s">
        <v>60</v>
      </c>
      <c r="E16" s="9"/>
      <c r="F16" s="5">
        <f t="shared" si="1"/>
        <v>0</v>
      </c>
      <c r="G16" s="8" t="s">
        <v>59</v>
      </c>
      <c r="H16" s="3" t="s">
        <v>28</v>
      </c>
      <c r="I16" s="3" t="s">
        <v>28</v>
      </c>
      <c r="J16" s="3" t="s">
        <v>29</v>
      </c>
      <c r="K16" s="3" t="s">
        <v>28</v>
      </c>
      <c r="L16" s="3" t="s">
        <v>32</v>
      </c>
      <c r="M16" s="3" t="s">
        <v>30</v>
      </c>
      <c r="N16" s="3" t="s">
        <v>30</v>
      </c>
      <c r="O16" s="3" t="s">
        <v>31</v>
      </c>
      <c r="P16" s="3" t="s">
        <v>28</v>
      </c>
      <c r="Q16" s="3" t="s">
        <v>29</v>
      </c>
      <c r="R16" s="3" t="s">
        <v>32</v>
      </c>
      <c r="S16" s="3" t="s">
        <v>28</v>
      </c>
      <c r="T16" s="3" t="s">
        <v>31</v>
      </c>
      <c r="U16" s="3" t="s">
        <v>31</v>
      </c>
      <c r="V16" s="3" t="s">
        <v>29</v>
      </c>
      <c r="W16" s="3" t="s">
        <v>28</v>
      </c>
      <c r="X16" s="3" t="s">
        <v>31</v>
      </c>
      <c r="Y16" s="3" t="s">
        <v>29</v>
      </c>
      <c r="Z16" s="3" t="s">
        <v>32</v>
      </c>
      <c r="AA16" s="3" t="s">
        <v>29</v>
      </c>
    </row>
    <row r="17" ht="15.75" customHeight="1">
      <c r="A17" s="7">
        <v>16.0</v>
      </c>
      <c r="B17" s="2" t="s">
        <v>24</v>
      </c>
      <c r="C17" s="3" t="s">
        <v>61</v>
      </c>
      <c r="D17" s="8" t="s">
        <v>62</v>
      </c>
      <c r="E17" s="9"/>
      <c r="F17" s="5">
        <f t="shared" si="1"/>
        <v>0</v>
      </c>
      <c r="G17" s="8" t="s">
        <v>61</v>
      </c>
      <c r="H17" s="3" t="s">
        <v>28</v>
      </c>
      <c r="I17" s="3" t="s">
        <v>28</v>
      </c>
      <c r="J17" s="3" t="s">
        <v>31</v>
      </c>
      <c r="K17" s="3" t="s">
        <v>28</v>
      </c>
      <c r="L17" s="3" t="s">
        <v>28</v>
      </c>
      <c r="M17" s="3" t="s">
        <v>30</v>
      </c>
      <c r="N17" s="3" t="s">
        <v>32</v>
      </c>
      <c r="O17" s="3" t="s">
        <v>28</v>
      </c>
      <c r="P17" s="3" t="s">
        <v>28</v>
      </c>
      <c r="Q17" s="3" t="s">
        <v>30</v>
      </c>
      <c r="R17" s="3" t="s">
        <v>31</v>
      </c>
      <c r="S17" s="3" t="s">
        <v>28</v>
      </c>
      <c r="T17" s="3" t="s">
        <v>31</v>
      </c>
      <c r="U17" s="3" t="s">
        <v>28</v>
      </c>
      <c r="V17" s="3" t="s">
        <v>30</v>
      </c>
      <c r="W17" s="3" t="s">
        <v>30</v>
      </c>
      <c r="X17" s="3" t="s">
        <v>31</v>
      </c>
      <c r="Y17" s="3" t="s">
        <v>31</v>
      </c>
      <c r="Z17" s="3" t="s">
        <v>32</v>
      </c>
      <c r="AA17" s="3" t="s">
        <v>32</v>
      </c>
    </row>
    <row r="18" ht="15.75" customHeight="1">
      <c r="A18" s="7">
        <v>17.0</v>
      </c>
      <c r="B18" s="2" t="s">
        <v>24</v>
      </c>
      <c r="C18" s="3" t="s">
        <v>63</v>
      </c>
      <c r="D18" s="8" t="s">
        <v>64</v>
      </c>
      <c r="E18" s="9"/>
      <c r="F18" s="5">
        <f t="shared" si="1"/>
        <v>0</v>
      </c>
      <c r="G18" s="8" t="s">
        <v>63</v>
      </c>
      <c r="H18" s="3" t="s">
        <v>32</v>
      </c>
      <c r="I18" s="3" t="s">
        <v>32</v>
      </c>
      <c r="J18" s="3" t="s">
        <v>29</v>
      </c>
      <c r="K18" s="3" t="s">
        <v>31</v>
      </c>
      <c r="L18" s="3" t="s">
        <v>30</v>
      </c>
      <c r="M18" s="3" t="s">
        <v>28</v>
      </c>
      <c r="N18" s="3" t="s">
        <v>31</v>
      </c>
      <c r="O18" s="3" t="s">
        <v>31</v>
      </c>
      <c r="P18" s="3" t="s">
        <v>28</v>
      </c>
      <c r="Q18" s="3" t="s">
        <v>30</v>
      </c>
      <c r="R18" s="3" t="s">
        <v>32</v>
      </c>
      <c r="S18" s="3" t="s">
        <v>28</v>
      </c>
      <c r="T18" s="3" t="s">
        <v>31</v>
      </c>
      <c r="U18" s="3" t="s">
        <v>32</v>
      </c>
      <c r="V18" s="3" t="s">
        <v>29</v>
      </c>
      <c r="W18" s="3" t="s">
        <v>31</v>
      </c>
      <c r="X18" s="3" t="s">
        <v>31</v>
      </c>
      <c r="Y18" s="3" t="s">
        <v>28</v>
      </c>
      <c r="Z18" s="3" t="s">
        <v>31</v>
      </c>
      <c r="AA18" s="3" t="s">
        <v>29</v>
      </c>
    </row>
    <row r="19" ht="15.75" customHeight="1">
      <c r="A19" s="7">
        <v>18.0</v>
      </c>
      <c r="B19" s="2" t="s">
        <v>24</v>
      </c>
      <c r="C19" s="3" t="s">
        <v>65</v>
      </c>
      <c r="D19" s="10" t="s">
        <v>66</v>
      </c>
      <c r="E19" s="9"/>
      <c r="F19" s="5">
        <f t="shared" si="1"/>
        <v>0</v>
      </c>
      <c r="G19" s="3" t="s">
        <v>65</v>
      </c>
      <c r="H19" s="3" t="s">
        <v>28</v>
      </c>
      <c r="I19" s="3" t="s">
        <v>28</v>
      </c>
      <c r="J19" s="3" t="s">
        <v>30</v>
      </c>
      <c r="K19" s="3" t="s">
        <v>28</v>
      </c>
      <c r="L19" s="3" t="s">
        <v>32</v>
      </c>
      <c r="M19" s="3" t="s">
        <v>31</v>
      </c>
      <c r="N19" s="3" t="s">
        <v>32</v>
      </c>
      <c r="O19" s="3" t="s">
        <v>30</v>
      </c>
      <c r="P19" s="3" t="s">
        <v>29</v>
      </c>
      <c r="Q19" s="3" t="s">
        <v>30</v>
      </c>
      <c r="R19" s="3" t="s">
        <v>32</v>
      </c>
      <c r="S19" s="3" t="s">
        <v>28</v>
      </c>
      <c r="T19" s="3" t="s">
        <v>30</v>
      </c>
      <c r="U19" s="3" t="s">
        <v>31</v>
      </c>
      <c r="V19" s="3" t="s">
        <v>29</v>
      </c>
      <c r="W19" s="3" t="s">
        <v>32</v>
      </c>
      <c r="X19" s="3" t="s">
        <v>31</v>
      </c>
      <c r="Y19" s="3" t="s">
        <v>32</v>
      </c>
      <c r="Z19" s="3" t="s">
        <v>29</v>
      </c>
      <c r="AA19" s="3" t="s">
        <v>29</v>
      </c>
    </row>
    <row r="20" ht="15.75" customHeight="1">
      <c r="A20" s="7">
        <v>19.0</v>
      </c>
      <c r="B20" s="2" t="s">
        <v>24</v>
      </c>
      <c r="C20" s="3" t="s">
        <v>67</v>
      </c>
      <c r="D20" s="8" t="s">
        <v>68</v>
      </c>
      <c r="E20" s="9"/>
      <c r="F20" s="5">
        <f t="shared" si="1"/>
        <v>0</v>
      </c>
      <c r="G20" s="3" t="s">
        <v>67</v>
      </c>
      <c r="H20" s="3" t="s">
        <v>29</v>
      </c>
      <c r="I20" s="3" t="s">
        <v>29</v>
      </c>
      <c r="J20" s="3" t="s">
        <v>28</v>
      </c>
      <c r="K20" s="3" t="s">
        <v>28</v>
      </c>
      <c r="L20" s="3" t="s">
        <v>28</v>
      </c>
      <c r="M20" s="3" t="s">
        <v>31</v>
      </c>
      <c r="N20" s="3" t="s">
        <v>31</v>
      </c>
      <c r="O20" s="3" t="s">
        <v>31</v>
      </c>
      <c r="P20" s="3" t="s">
        <v>30</v>
      </c>
      <c r="Q20" s="3" t="s">
        <v>32</v>
      </c>
      <c r="R20" s="3" t="s">
        <v>32</v>
      </c>
      <c r="S20" s="3" t="s">
        <v>28</v>
      </c>
      <c r="T20" s="3" t="s">
        <v>31</v>
      </c>
      <c r="U20" s="3" t="s">
        <v>31</v>
      </c>
      <c r="V20" s="3" t="s">
        <v>31</v>
      </c>
      <c r="W20" s="3" t="s">
        <v>29</v>
      </c>
      <c r="X20" s="3" t="s">
        <v>31</v>
      </c>
      <c r="Y20" s="3" t="s">
        <v>31</v>
      </c>
      <c r="Z20" s="3" t="s">
        <v>29</v>
      </c>
      <c r="AA20" s="3" t="s">
        <v>28</v>
      </c>
    </row>
    <row r="21" ht="15.75" customHeight="1">
      <c r="A21" s="7">
        <v>20.0</v>
      </c>
      <c r="B21" s="2" t="s">
        <v>24</v>
      </c>
      <c r="C21" s="3" t="s">
        <v>69</v>
      </c>
      <c r="D21" s="11" t="s">
        <v>70</v>
      </c>
      <c r="E21" s="9"/>
      <c r="F21" s="5">
        <f t="shared" si="1"/>
        <v>0</v>
      </c>
      <c r="G21" s="8" t="s">
        <v>69</v>
      </c>
      <c r="H21" s="3" t="s">
        <v>32</v>
      </c>
      <c r="I21" s="3" t="s">
        <v>32</v>
      </c>
      <c r="J21" s="3" t="s">
        <v>29</v>
      </c>
      <c r="K21" s="3" t="s">
        <v>30</v>
      </c>
      <c r="L21" s="3" t="s">
        <v>31</v>
      </c>
      <c r="M21" s="3" t="s">
        <v>30</v>
      </c>
      <c r="N21" s="3" t="s">
        <v>30</v>
      </c>
      <c r="O21" s="3" t="s">
        <v>31</v>
      </c>
      <c r="P21" s="3" t="s">
        <v>30</v>
      </c>
      <c r="Q21" s="3" t="s">
        <v>29</v>
      </c>
      <c r="R21" s="3" t="s">
        <v>32</v>
      </c>
      <c r="S21" s="3" t="s">
        <v>28</v>
      </c>
      <c r="T21" s="3" t="s">
        <v>29</v>
      </c>
      <c r="U21" s="3" t="s">
        <v>28</v>
      </c>
      <c r="V21" s="3" t="s">
        <v>30</v>
      </c>
      <c r="W21" s="3" t="s">
        <v>28</v>
      </c>
      <c r="X21" s="3" t="s">
        <v>28</v>
      </c>
      <c r="Y21" s="3" t="s">
        <v>30</v>
      </c>
      <c r="Z21" s="3" t="s">
        <v>30</v>
      </c>
      <c r="AA21" s="3" t="s">
        <v>28</v>
      </c>
    </row>
    <row r="22" ht="15.75" customHeight="1">
      <c r="A22" s="7">
        <v>21.0</v>
      </c>
      <c r="B22" s="2" t="s">
        <v>24</v>
      </c>
      <c r="C22" s="3" t="s">
        <v>71</v>
      </c>
      <c r="D22" s="8" t="s">
        <v>72</v>
      </c>
      <c r="E22" s="4"/>
      <c r="F22" s="5">
        <f t="shared" si="1"/>
        <v>0</v>
      </c>
      <c r="G22" s="8" t="s">
        <v>71</v>
      </c>
      <c r="H22" s="3" t="s">
        <v>28</v>
      </c>
      <c r="I22" s="3" t="s">
        <v>29</v>
      </c>
      <c r="J22" s="3" t="s">
        <v>32</v>
      </c>
      <c r="K22" s="3" t="s">
        <v>28</v>
      </c>
      <c r="L22" s="3" t="s">
        <v>30</v>
      </c>
      <c r="M22" s="3" t="s">
        <v>28</v>
      </c>
      <c r="N22" s="3" t="s">
        <v>30</v>
      </c>
      <c r="O22" s="3" t="s">
        <v>30</v>
      </c>
      <c r="P22" s="3" t="s">
        <v>28</v>
      </c>
      <c r="Q22" s="3" t="s">
        <v>31</v>
      </c>
      <c r="R22" s="3" t="s">
        <v>32</v>
      </c>
      <c r="S22" s="3" t="s">
        <v>28</v>
      </c>
      <c r="T22" s="3" t="s">
        <v>31</v>
      </c>
      <c r="U22" s="3" t="s">
        <v>31</v>
      </c>
      <c r="V22" s="3" t="s">
        <v>30</v>
      </c>
      <c r="W22" s="3" t="s">
        <v>28</v>
      </c>
      <c r="X22" s="3" t="s">
        <v>31</v>
      </c>
      <c r="Y22" s="3" t="s">
        <v>28</v>
      </c>
      <c r="Z22" s="3" t="s">
        <v>29</v>
      </c>
      <c r="AA22" s="3" t="s">
        <v>30</v>
      </c>
    </row>
    <row r="23" ht="15.75" customHeight="1">
      <c r="A23" s="7">
        <v>22.0</v>
      </c>
      <c r="B23" s="2" t="s">
        <v>24</v>
      </c>
      <c r="C23" s="3" t="s">
        <v>73</v>
      </c>
      <c r="D23" s="8" t="s">
        <v>74</v>
      </c>
      <c r="E23" s="9"/>
      <c r="F23" s="5">
        <f t="shared" si="1"/>
        <v>0</v>
      </c>
      <c r="G23" s="8" t="s">
        <v>73</v>
      </c>
      <c r="H23" s="3" t="s">
        <v>31</v>
      </c>
      <c r="I23" s="3" t="s">
        <v>28</v>
      </c>
      <c r="J23" s="3" t="s">
        <v>32</v>
      </c>
      <c r="K23" s="3" t="s">
        <v>28</v>
      </c>
      <c r="L23" s="3" t="s">
        <v>28</v>
      </c>
      <c r="M23" s="3" t="s">
        <v>29</v>
      </c>
      <c r="N23" s="3" t="s">
        <v>28</v>
      </c>
      <c r="O23" s="3" t="s">
        <v>30</v>
      </c>
      <c r="P23" s="3" t="s">
        <v>28</v>
      </c>
      <c r="Q23" s="3" t="s">
        <v>28</v>
      </c>
      <c r="R23" s="3" t="s">
        <v>29</v>
      </c>
      <c r="S23" s="3" t="s">
        <v>28</v>
      </c>
      <c r="T23" s="3" t="s">
        <v>30</v>
      </c>
      <c r="U23" s="3" t="s">
        <v>28</v>
      </c>
      <c r="V23" s="3" t="s">
        <v>28</v>
      </c>
      <c r="W23" s="3" t="s">
        <v>30</v>
      </c>
      <c r="X23" s="3" t="s">
        <v>28</v>
      </c>
      <c r="Y23" s="3" t="s">
        <v>29</v>
      </c>
      <c r="Z23" s="3" t="s">
        <v>31</v>
      </c>
      <c r="AA23" s="3" t="s">
        <v>30</v>
      </c>
    </row>
    <row r="24" ht="15.75" customHeight="1">
      <c r="A24" s="7">
        <v>23.0</v>
      </c>
      <c r="B24" s="2" t="s">
        <v>24</v>
      </c>
      <c r="C24" s="3" t="s">
        <v>75</v>
      </c>
      <c r="D24" s="8" t="s">
        <v>76</v>
      </c>
      <c r="E24" s="9"/>
      <c r="F24" s="5">
        <f t="shared" si="1"/>
        <v>0</v>
      </c>
      <c r="G24" s="8" t="s">
        <v>75</v>
      </c>
      <c r="H24" s="3" t="s">
        <v>29</v>
      </c>
      <c r="I24" s="3" t="s">
        <v>29</v>
      </c>
      <c r="J24" s="3" t="s">
        <v>28</v>
      </c>
      <c r="K24" s="3" t="s">
        <v>28</v>
      </c>
      <c r="L24" s="3" t="s">
        <v>32</v>
      </c>
      <c r="M24" s="3" t="s">
        <v>29</v>
      </c>
      <c r="N24" s="3" t="s">
        <v>31</v>
      </c>
      <c r="O24" s="3" t="s">
        <v>28</v>
      </c>
      <c r="P24" s="3" t="s">
        <v>28</v>
      </c>
      <c r="Q24" s="3" t="s">
        <v>30</v>
      </c>
      <c r="R24" s="3" t="s">
        <v>32</v>
      </c>
      <c r="S24" s="3" t="s">
        <v>28</v>
      </c>
      <c r="T24" s="3" t="s">
        <v>31</v>
      </c>
      <c r="U24" s="3" t="s">
        <v>31</v>
      </c>
      <c r="V24" s="3" t="s">
        <v>31</v>
      </c>
      <c r="W24" s="3" t="s">
        <v>28</v>
      </c>
      <c r="X24" s="3" t="s">
        <v>31</v>
      </c>
      <c r="Y24" s="3" t="s">
        <v>28</v>
      </c>
      <c r="Z24" s="3" t="s">
        <v>30</v>
      </c>
      <c r="AA24" s="3" t="s">
        <v>30</v>
      </c>
    </row>
    <row r="25" ht="15.75" customHeight="1">
      <c r="A25" s="7">
        <v>24.0</v>
      </c>
      <c r="B25" s="2" t="s">
        <v>24</v>
      </c>
      <c r="C25" s="3" t="s">
        <v>77</v>
      </c>
      <c r="D25" s="10" t="s">
        <v>78</v>
      </c>
      <c r="E25" s="9"/>
      <c r="F25" s="5">
        <f t="shared" si="1"/>
        <v>0</v>
      </c>
      <c r="G25" s="8" t="s">
        <v>77</v>
      </c>
      <c r="H25" s="3" t="s">
        <v>28</v>
      </c>
      <c r="I25" s="3" t="s">
        <v>30</v>
      </c>
      <c r="J25" s="3" t="s">
        <v>29</v>
      </c>
      <c r="K25" s="3" t="s">
        <v>29</v>
      </c>
      <c r="L25" s="3" t="s">
        <v>32</v>
      </c>
      <c r="M25" s="3" t="s">
        <v>30</v>
      </c>
      <c r="N25" s="3" t="s">
        <v>28</v>
      </c>
      <c r="O25" s="3" t="s">
        <v>32</v>
      </c>
      <c r="P25" s="3" t="s">
        <v>28</v>
      </c>
      <c r="Q25" s="3" t="s">
        <v>28</v>
      </c>
      <c r="R25" s="3" t="s">
        <v>29</v>
      </c>
      <c r="S25" s="3" t="s">
        <v>29</v>
      </c>
      <c r="T25" s="3" t="s">
        <v>28</v>
      </c>
      <c r="U25" s="3" t="s">
        <v>30</v>
      </c>
      <c r="V25" s="3" t="s">
        <v>28</v>
      </c>
      <c r="W25" s="3" t="s">
        <v>30</v>
      </c>
      <c r="X25" s="3" t="s">
        <v>32</v>
      </c>
      <c r="Y25" s="3" t="s">
        <v>28</v>
      </c>
      <c r="Z25" s="3" t="s">
        <v>30</v>
      </c>
      <c r="AA25" s="3" t="s">
        <v>28</v>
      </c>
    </row>
    <row r="26" ht="15.75" customHeight="1">
      <c r="A26" s="7">
        <v>25.0</v>
      </c>
      <c r="B26" s="2" t="s">
        <v>24</v>
      </c>
      <c r="C26" s="3" t="s">
        <v>79</v>
      </c>
      <c r="D26" s="8" t="s">
        <v>80</v>
      </c>
      <c r="E26" s="9"/>
      <c r="F26" s="5">
        <f t="shared" si="1"/>
        <v>0</v>
      </c>
      <c r="G26" s="8" t="s">
        <v>79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30</v>
      </c>
      <c r="M26" s="3" t="s">
        <v>30</v>
      </c>
      <c r="N26" s="3" t="s">
        <v>31</v>
      </c>
      <c r="O26" s="3" t="s">
        <v>31</v>
      </c>
      <c r="P26" s="3" t="s">
        <v>28</v>
      </c>
      <c r="Q26" s="3" t="s">
        <v>28</v>
      </c>
      <c r="R26" s="3" t="s">
        <v>31</v>
      </c>
      <c r="S26" s="3" t="s">
        <v>28</v>
      </c>
      <c r="T26" s="3" t="s">
        <v>31</v>
      </c>
      <c r="U26" s="3" t="s">
        <v>31</v>
      </c>
      <c r="V26" s="3" t="s">
        <v>29</v>
      </c>
      <c r="W26" s="3" t="s">
        <v>31</v>
      </c>
      <c r="X26" s="3" t="s">
        <v>31</v>
      </c>
      <c r="Y26" s="3" t="s">
        <v>31</v>
      </c>
      <c r="Z26" s="3" t="s">
        <v>32</v>
      </c>
      <c r="AA26" s="3" t="s">
        <v>29</v>
      </c>
    </row>
    <row r="27" ht="15.75" customHeight="1">
      <c r="A27" s="7">
        <v>26.0</v>
      </c>
      <c r="B27" s="2" t="s">
        <v>24</v>
      </c>
      <c r="C27" s="3" t="s">
        <v>81</v>
      </c>
      <c r="D27" s="8" t="s">
        <v>82</v>
      </c>
      <c r="E27" s="9"/>
      <c r="F27" s="5">
        <f t="shared" si="1"/>
        <v>0</v>
      </c>
      <c r="G27" s="8" t="s">
        <v>81</v>
      </c>
      <c r="H27" s="3" t="s">
        <v>28</v>
      </c>
      <c r="I27" s="3" t="s">
        <v>28</v>
      </c>
      <c r="J27" s="3" t="s">
        <v>31</v>
      </c>
      <c r="K27" s="3" t="s">
        <v>28</v>
      </c>
      <c r="L27" s="3" t="s">
        <v>29</v>
      </c>
      <c r="M27" s="3" t="s">
        <v>32</v>
      </c>
      <c r="N27" s="3" t="s">
        <v>31</v>
      </c>
      <c r="O27" s="3" t="s">
        <v>28</v>
      </c>
      <c r="P27" s="3" t="s">
        <v>28</v>
      </c>
      <c r="Q27" s="3" t="s">
        <v>30</v>
      </c>
      <c r="R27" s="3" t="s">
        <v>32</v>
      </c>
      <c r="S27" s="3" t="s">
        <v>28</v>
      </c>
      <c r="T27" s="3" t="s">
        <v>31</v>
      </c>
      <c r="U27" s="3" t="s">
        <v>31</v>
      </c>
      <c r="V27" s="3" t="s">
        <v>31</v>
      </c>
      <c r="W27" s="3" t="s">
        <v>31</v>
      </c>
      <c r="X27" s="3" t="s">
        <v>31</v>
      </c>
      <c r="Y27" s="3" t="s">
        <v>32</v>
      </c>
      <c r="Z27" s="3" t="s">
        <v>30</v>
      </c>
      <c r="AA27" s="3" t="s">
        <v>30</v>
      </c>
    </row>
    <row r="28" ht="15.75" customHeight="1">
      <c r="A28" s="7">
        <v>27.0</v>
      </c>
      <c r="B28" s="2" t="s">
        <v>24</v>
      </c>
      <c r="C28" s="3" t="s">
        <v>83</v>
      </c>
      <c r="D28" s="8" t="s">
        <v>84</v>
      </c>
      <c r="E28" s="9"/>
      <c r="F28" s="5">
        <f t="shared" si="1"/>
        <v>0</v>
      </c>
      <c r="G28" s="8" t="s">
        <v>83</v>
      </c>
      <c r="H28" s="3" t="s">
        <v>29</v>
      </c>
      <c r="I28" s="3" t="s">
        <v>28</v>
      </c>
      <c r="J28" s="3" t="s">
        <v>29</v>
      </c>
      <c r="K28" s="3" t="s">
        <v>28</v>
      </c>
      <c r="L28" s="3" t="s">
        <v>28</v>
      </c>
      <c r="M28" s="3" t="s">
        <v>28</v>
      </c>
      <c r="N28" s="3" t="s">
        <v>31</v>
      </c>
      <c r="O28" s="3" t="s">
        <v>31</v>
      </c>
      <c r="P28" s="3" t="s">
        <v>28</v>
      </c>
      <c r="Q28" s="3" t="s">
        <v>30</v>
      </c>
      <c r="R28" s="3" t="s">
        <v>32</v>
      </c>
      <c r="S28" s="3" t="s">
        <v>28</v>
      </c>
      <c r="T28" s="3" t="s">
        <v>31</v>
      </c>
      <c r="U28" s="3" t="s">
        <v>28</v>
      </c>
      <c r="V28" s="3" t="s">
        <v>30</v>
      </c>
      <c r="W28" s="3" t="s">
        <v>32</v>
      </c>
      <c r="X28" s="3" t="s">
        <v>31</v>
      </c>
      <c r="Y28" s="3" t="s">
        <v>30</v>
      </c>
      <c r="Z28" s="3" t="s">
        <v>31</v>
      </c>
      <c r="AA28" s="3" t="s">
        <v>32</v>
      </c>
    </row>
    <row r="29" ht="15.75" customHeight="1">
      <c r="A29" s="7">
        <v>28.0</v>
      </c>
      <c r="B29" s="2" t="s">
        <v>24</v>
      </c>
      <c r="C29" s="3" t="s">
        <v>85</v>
      </c>
      <c r="D29" s="8" t="s">
        <v>86</v>
      </c>
      <c r="E29" s="9"/>
      <c r="F29" s="5">
        <f t="shared" si="1"/>
        <v>0</v>
      </c>
      <c r="G29" s="3" t="s">
        <v>85</v>
      </c>
      <c r="H29" s="3" t="s">
        <v>28</v>
      </c>
      <c r="I29" s="3" t="s">
        <v>28</v>
      </c>
      <c r="J29" s="3" t="s">
        <v>32</v>
      </c>
      <c r="K29" s="3" t="s">
        <v>28</v>
      </c>
      <c r="L29" s="3" t="s">
        <v>30</v>
      </c>
      <c r="M29" s="3" t="s">
        <v>31</v>
      </c>
      <c r="N29" s="3" t="s">
        <v>31</v>
      </c>
      <c r="O29" s="3" t="s">
        <v>28</v>
      </c>
      <c r="P29" s="3" t="s">
        <v>28</v>
      </c>
      <c r="Q29" s="3" t="s">
        <v>29</v>
      </c>
      <c r="R29" s="3" t="s">
        <v>28</v>
      </c>
      <c r="S29" s="3" t="s">
        <v>28</v>
      </c>
      <c r="T29" s="3" t="s">
        <v>31</v>
      </c>
      <c r="U29" s="3" t="s">
        <v>31</v>
      </c>
      <c r="V29" s="3" t="s">
        <v>30</v>
      </c>
      <c r="W29" s="3" t="s">
        <v>32</v>
      </c>
      <c r="X29" s="3" t="s">
        <v>31</v>
      </c>
      <c r="Y29" s="3" t="s">
        <v>28</v>
      </c>
      <c r="Z29" s="3" t="s">
        <v>31</v>
      </c>
      <c r="AA29" s="3" t="s">
        <v>30</v>
      </c>
    </row>
    <row r="30" ht="15.75" customHeight="1">
      <c r="A30" s="7">
        <v>29.0</v>
      </c>
      <c r="B30" s="2" t="s">
        <v>24</v>
      </c>
      <c r="C30" s="3" t="s">
        <v>87</v>
      </c>
      <c r="D30" s="8" t="s">
        <v>88</v>
      </c>
      <c r="E30" s="9"/>
      <c r="F30" s="5">
        <f t="shared" si="1"/>
        <v>0</v>
      </c>
      <c r="G30" s="8" t="s">
        <v>87</v>
      </c>
      <c r="H30" s="3" t="s">
        <v>28</v>
      </c>
      <c r="I30" s="3" t="s">
        <v>28</v>
      </c>
      <c r="J30" s="3" t="s">
        <v>28</v>
      </c>
      <c r="K30" s="3" t="s">
        <v>28</v>
      </c>
      <c r="L30" s="3" t="s">
        <v>32</v>
      </c>
      <c r="M30" s="3" t="s">
        <v>32</v>
      </c>
      <c r="N30" s="3" t="s">
        <v>30</v>
      </c>
      <c r="O30" s="3" t="s">
        <v>28</v>
      </c>
      <c r="P30" s="3" t="s">
        <v>31</v>
      </c>
      <c r="Q30" s="3" t="s">
        <v>32</v>
      </c>
      <c r="R30" s="3" t="s">
        <v>32</v>
      </c>
      <c r="S30" s="3" t="s">
        <v>28</v>
      </c>
      <c r="T30" s="3" t="s">
        <v>30</v>
      </c>
      <c r="U30" s="3" t="s">
        <v>31</v>
      </c>
      <c r="V30" s="3" t="s">
        <v>31</v>
      </c>
      <c r="W30" s="3" t="s">
        <v>28</v>
      </c>
      <c r="X30" s="3" t="s">
        <v>28</v>
      </c>
      <c r="Y30" s="3" t="s">
        <v>28</v>
      </c>
      <c r="Z30" s="3" t="s">
        <v>32</v>
      </c>
      <c r="AA30" s="3" t="s">
        <v>30</v>
      </c>
    </row>
    <row r="31" ht="15.75" customHeight="1">
      <c r="A31" s="7">
        <v>30.0</v>
      </c>
      <c r="B31" s="2" t="s">
        <v>24</v>
      </c>
      <c r="C31" s="3" t="s">
        <v>89</v>
      </c>
      <c r="D31" s="8" t="s">
        <v>90</v>
      </c>
      <c r="E31" s="4"/>
      <c r="F31" s="5">
        <f t="shared" si="1"/>
        <v>0</v>
      </c>
      <c r="G31" s="8" t="s">
        <v>89</v>
      </c>
      <c r="H31" s="3" t="s">
        <v>29</v>
      </c>
      <c r="I31" s="3" t="s">
        <v>28</v>
      </c>
      <c r="J31" s="3" t="s">
        <v>30</v>
      </c>
      <c r="K31" s="3" t="s">
        <v>28</v>
      </c>
      <c r="L31" s="3" t="s">
        <v>32</v>
      </c>
      <c r="M31" s="3" t="s">
        <v>28</v>
      </c>
      <c r="N31" s="3" t="s">
        <v>29</v>
      </c>
      <c r="O31" s="3" t="s">
        <v>31</v>
      </c>
      <c r="P31" s="3" t="s">
        <v>28</v>
      </c>
      <c r="Q31" s="3" t="s">
        <v>29</v>
      </c>
      <c r="R31" s="3" t="s">
        <v>32</v>
      </c>
      <c r="S31" s="3" t="s">
        <v>28</v>
      </c>
      <c r="T31" s="3" t="s">
        <v>31</v>
      </c>
      <c r="U31" s="3" t="s">
        <v>32</v>
      </c>
      <c r="V31" s="3" t="s">
        <v>29</v>
      </c>
      <c r="W31" s="3" t="s">
        <v>31</v>
      </c>
      <c r="X31" s="3" t="s">
        <v>31</v>
      </c>
      <c r="Y31" s="3" t="s">
        <v>28</v>
      </c>
      <c r="Z31" s="3" t="s">
        <v>32</v>
      </c>
      <c r="AA31" s="3" t="s">
        <v>28</v>
      </c>
    </row>
    <row r="32" ht="15.75" customHeight="1">
      <c r="A32" s="7">
        <v>31.0</v>
      </c>
      <c r="B32" s="2" t="s">
        <v>24</v>
      </c>
      <c r="C32" s="3" t="s">
        <v>91</v>
      </c>
      <c r="D32" s="8" t="s">
        <v>92</v>
      </c>
      <c r="E32" s="9"/>
      <c r="F32" s="5">
        <f t="shared" si="1"/>
        <v>0</v>
      </c>
      <c r="G32" s="8" t="s">
        <v>91</v>
      </c>
      <c r="H32" s="3" t="s">
        <v>28</v>
      </c>
      <c r="I32" s="3" t="s">
        <v>29</v>
      </c>
      <c r="J32" s="3" t="s">
        <v>31</v>
      </c>
      <c r="K32" s="3" t="s">
        <v>28</v>
      </c>
      <c r="L32" s="3" t="s">
        <v>32</v>
      </c>
      <c r="M32" s="3" t="s">
        <v>30</v>
      </c>
      <c r="N32" s="3" t="s">
        <v>31</v>
      </c>
      <c r="O32" s="3" t="s">
        <v>31</v>
      </c>
      <c r="P32" s="3" t="s">
        <v>28</v>
      </c>
      <c r="Q32" s="3" t="s">
        <v>30</v>
      </c>
      <c r="R32" s="3" t="s">
        <v>32</v>
      </c>
      <c r="S32" s="3" t="s">
        <v>28</v>
      </c>
      <c r="T32" s="3" t="s">
        <v>31</v>
      </c>
      <c r="U32" s="3" t="s">
        <v>31</v>
      </c>
      <c r="V32" s="3" t="s">
        <v>29</v>
      </c>
      <c r="W32" s="3" t="s">
        <v>32</v>
      </c>
      <c r="X32" s="3" t="s">
        <v>31</v>
      </c>
      <c r="Y32" s="3" t="s">
        <v>31</v>
      </c>
      <c r="Z32" s="3" t="s">
        <v>32</v>
      </c>
      <c r="AA32" s="3" t="s">
        <v>32</v>
      </c>
    </row>
    <row r="33" ht="15.75" customHeight="1">
      <c r="A33" s="7">
        <v>32.0</v>
      </c>
      <c r="B33" s="2" t="s">
        <v>24</v>
      </c>
      <c r="C33" s="3" t="s">
        <v>93</v>
      </c>
      <c r="D33" s="8" t="s">
        <v>94</v>
      </c>
      <c r="E33" s="4"/>
      <c r="F33" s="5">
        <f t="shared" si="1"/>
        <v>0</v>
      </c>
      <c r="G33" s="3" t="s">
        <v>93</v>
      </c>
      <c r="H33" s="3" t="s">
        <v>30</v>
      </c>
      <c r="I33" s="3" t="s">
        <v>28</v>
      </c>
      <c r="J33" s="3" t="s">
        <v>29</v>
      </c>
      <c r="K33" s="3" t="s">
        <v>28</v>
      </c>
      <c r="L33" s="3" t="s">
        <v>29</v>
      </c>
      <c r="M33" s="3" t="s">
        <v>30</v>
      </c>
      <c r="N33" s="3" t="s">
        <v>31</v>
      </c>
      <c r="O33" s="3" t="s">
        <v>30</v>
      </c>
      <c r="P33" s="3" t="s">
        <v>28</v>
      </c>
      <c r="Q33" s="3" t="s">
        <v>29</v>
      </c>
      <c r="R33" s="3" t="s">
        <v>30</v>
      </c>
      <c r="S33" s="3" t="s">
        <v>28</v>
      </c>
      <c r="T33" s="3" t="s">
        <v>31</v>
      </c>
      <c r="U33" s="3" t="s">
        <v>28</v>
      </c>
      <c r="V33" s="3" t="s">
        <v>30</v>
      </c>
      <c r="W33" s="3" t="s">
        <v>31</v>
      </c>
      <c r="X33" s="3" t="s">
        <v>32</v>
      </c>
      <c r="Y33" s="3" t="s">
        <v>31</v>
      </c>
      <c r="Z33" s="3" t="s">
        <v>28</v>
      </c>
      <c r="AA33" s="3" t="s">
        <v>32</v>
      </c>
    </row>
    <row r="34" ht="15.75" customHeight="1">
      <c r="A34" s="7">
        <v>33.0</v>
      </c>
      <c r="B34" s="2" t="s">
        <v>24</v>
      </c>
      <c r="C34" s="3" t="s">
        <v>95</v>
      </c>
      <c r="D34" s="8" t="s">
        <v>96</v>
      </c>
      <c r="E34" s="9"/>
      <c r="F34" s="5">
        <f t="shared" si="1"/>
        <v>0</v>
      </c>
      <c r="G34" s="8" t="s">
        <v>95</v>
      </c>
      <c r="H34" s="3" t="s">
        <v>31</v>
      </c>
      <c r="I34" s="3" t="s">
        <v>28</v>
      </c>
      <c r="J34" s="3" t="s">
        <v>29</v>
      </c>
      <c r="K34" s="3" t="s">
        <v>28</v>
      </c>
      <c r="L34" s="3" t="s">
        <v>32</v>
      </c>
      <c r="M34" s="3" t="s">
        <v>28</v>
      </c>
      <c r="N34" s="3" t="s">
        <v>31</v>
      </c>
      <c r="O34" s="3" t="s">
        <v>31</v>
      </c>
      <c r="P34" s="3" t="s">
        <v>30</v>
      </c>
      <c r="Q34" s="3" t="s">
        <v>29</v>
      </c>
      <c r="R34" s="3" t="s">
        <v>32</v>
      </c>
      <c r="S34" s="3" t="s">
        <v>28</v>
      </c>
      <c r="T34" s="3" t="s">
        <v>31</v>
      </c>
      <c r="U34" s="3" t="s">
        <v>30</v>
      </c>
      <c r="V34" s="3" t="s">
        <v>29</v>
      </c>
      <c r="W34" s="3" t="s">
        <v>29</v>
      </c>
      <c r="X34" s="3" t="s">
        <v>31</v>
      </c>
      <c r="Y34" s="3" t="s">
        <v>28</v>
      </c>
      <c r="Z34" s="3" t="s">
        <v>31</v>
      </c>
      <c r="AA34" s="3" t="s">
        <v>32</v>
      </c>
    </row>
    <row r="35" ht="15.75" customHeight="1">
      <c r="A35" s="7">
        <v>34.0</v>
      </c>
      <c r="B35" s="2" t="s">
        <v>24</v>
      </c>
      <c r="C35" s="3" t="s">
        <v>97</v>
      </c>
      <c r="D35" s="8" t="s">
        <v>98</v>
      </c>
      <c r="E35" s="4"/>
      <c r="F35" s="5">
        <f t="shared" si="1"/>
        <v>0</v>
      </c>
      <c r="G35" s="8" t="s">
        <v>97</v>
      </c>
      <c r="H35" s="3" t="s">
        <v>28</v>
      </c>
      <c r="I35" s="3" t="s">
        <v>28</v>
      </c>
      <c r="J35" s="3" t="s">
        <v>29</v>
      </c>
      <c r="K35" s="3" t="s">
        <v>28</v>
      </c>
      <c r="L35" s="3" t="s">
        <v>28</v>
      </c>
      <c r="M35" s="3" t="s">
        <v>29</v>
      </c>
      <c r="N35" s="3" t="s">
        <v>31</v>
      </c>
      <c r="O35" s="3" t="s">
        <v>31</v>
      </c>
      <c r="P35" s="3" t="s">
        <v>30</v>
      </c>
      <c r="Q35" s="3" t="s">
        <v>30</v>
      </c>
      <c r="R35" s="3" t="s">
        <v>32</v>
      </c>
      <c r="S35" s="3" t="s">
        <v>28</v>
      </c>
      <c r="T35" s="3" t="s">
        <v>31</v>
      </c>
      <c r="U35" s="3" t="s">
        <v>30</v>
      </c>
      <c r="V35" s="3" t="s">
        <v>30</v>
      </c>
      <c r="W35" s="3" t="s">
        <v>31</v>
      </c>
      <c r="X35" s="3" t="s">
        <v>31</v>
      </c>
      <c r="Y35" s="3" t="s">
        <v>31</v>
      </c>
      <c r="Z35" s="3" t="s">
        <v>29</v>
      </c>
      <c r="AA35" s="3" t="s">
        <v>28</v>
      </c>
    </row>
    <row r="36" ht="15.75" customHeight="1">
      <c r="A36" s="7">
        <v>35.0</v>
      </c>
      <c r="B36" s="2" t="s">
        <v>24</v>
      </c>
      <c r="C36" s="3" t="s">
        <v>99</v>
      </c>
      <c r="D36" s="8" t="s">
        <v>100</v>
      </c>
      <c r="E36" s="9"/>
      <c r="F36" s="5">
        <f t="shared" si="1"/>
        <v>0</v>
      </c>
      <c r="G36" s="8" t="s">
        <v>99</v>
      </c>
      <c r="H36" s="3" t="s">
        <v>29</v>
      </c>
      <c r="I36" s="3" t="s">
        <v>28</v>
      </c>
      <c r="J36" s="3" t="s">
        <v>31</v>
      </c>
      <c r="K36" s="3" t="s">
        <v>28</v>
      </c>
      <c r="L36" s="3" t="s">
        <v>32</v>
      </c>
      <c r="M36" s="3" t="s">
        <v>28</v>
      </c>
      <c r="N36" s="3" t="s">
        <v>30</v>
      </c>
      <c r="O36" s="3" t="s">
        <v>30</v>
      </c>
      <c r="P36" s="3" t="s">
        <v>28</v>
      </c>
      <c r="Q36" s="3" t="s">
        <v>31</v>
      </c>
      <c r="R36" s="3" t="s">
        <v>28</v>
      </c>
      <c r="S36" s="3" t="s">
        <v>28</v>
      </c>
      <c r="T36" s="3" t="s">
        <v>31</v>
      </c>
      <c r="U36" s="3" t="s">
        <v>29</v>
      </c>
      <c r="V36" s="3" t="s">
        <v>29</v>
      </c>
      <c r="W36" s="3" t="s">
        <v>30</v>
      </c>
      <c r="X36" s="3" t="s">
        <v>31</v>
      </c>
      <c r="Y36" s="3" t="s">
        <v>31</v>
      </c>
      <c r="Z36" s="3" t="s">
        <v>29</v>
      </c>
      <c r="AA36" s="3" t="s">
        <v>28</v>
      </c>
    </row>
    <row r="37" ht="15.75" customHeight="1">
      <c r="A37" s="7">
        <v>36.0</v>
      </c>
      <c r="B37" s="2" t="s">
        <v>24</v>
      </c>
      <c r="C37" s="3" t="s">
        <v>101</v>
      </c>
      <c r="D37" s="8" t="s">
        <v>102</v>
      </c>
      <c r="E37" s="9"/>
      <c r="F37" s="5">
        <f t="shared" si="1"/>
        <v>0</v>
      </c>
      <c r="G37" s="3" t="s">
        <v>101</v>
      </c>
      <c r="H37" s="3" t="s">
        <v>28</v>
      </c>
      <c r="I37" s="3" t="s">
        <v>29</v>
      </c>
      <c r="J37" s="3" t="s">
        <v>30</v>
      </c>
      <c r="K37" s="3" t="s">
        <v>28</v>
      </c>
      <c r="L37" s="3" t="s">
        <v>30</v>
      </c>
      <c r="M37" s="3" t="s">
        <v>28</v>
      </c>
      <c r="N37" s="3" t="s">
        <v>31</v>
      </c>
      <c r="O37" s="3" t="s">
        <v>31</v>
      </c>
      <c r="P37" s="3" t="s">
        <v>28</v>
      </c>
      <c r="Q37" s="3" t="s">
        <v>30</v>
      </c>
      <c r="R37" s="3" t="s">
        <v>32</v>
      </c>
      <c r="S37" s="3" t="s">
        <v>28</v>
      </c>
      <c r="T37" s="3" t="s">
        <v>31</v>
      </c>
      <c r="U37" s="3" t="s">
        <v>32</v>
      </c>
      <c r="V37" s="3" t="s">
        <v>29</v>
      </c>
      <c r="W37" s="3" t="s">
        <v>32</v>
      </c>
      <c r="X37" s="3" t="s">
        <v>31</v>
      </c>
      <c r="Y37" s="3" t="s">
        <v>28</v>
      </c>
      <c r="Z37" s="3" t="s">
        <v>31</v>
      </c>
      <c r="AA37" s="3" t="s">
        <v>29</v>
      </c>
    </row>
    <row r="38" ht="15.75" customHeight="1">
      <c r="A38" s="7">
        <v>37.0</v>
      </c>
      <c r="B38" s="2" t="s">
        <v>24</v>
      </c>
      <c r="C38" s="3" t="s">
        <v>103</v>
      </c>
      <c r="D38" s="8" t="s">
        <v>104</v>
      </c>
      <c r="E38" s="9"/>
      <c r="F38" s="5">
        <f t="shared" si="1"/>
        <v>0</v>
      </c>
      <c r="G38" s="8" t="s">
        <v>103</v>
      </c>
      <c r="H38" s="3" t="s">
        <v>28</v>
      </c>
      <c r="I38" s="3" t="s">
        <v>28</v>
      </c>
      <c r="J38" s="3" t="s">
        <v>30</v>
      </c>
      <c r="K38" s="3" t="s">
        <v>28</v>
      </c>
      <c r="L38" s="3" t="s">
        <v>28</v>
      </c>
      <c r="M38" s="3" t="s">
        <v>28</v>
      </c>
      <c r="N38" s="3" t="s">
        <v>31</v>
      </c>
      <c r="O38" s="3" t="s">
        <v>31</v>
      </c>
      <c r="P38" s="3" t="s">
        <v>28</v>
      </c>
      <c r="Q38" s="3" t="s">
        <v>30</v>
      </c>
      <c r="R38" s="3" t="s">
        <v>32</v>
      </c>
      <c r="S38" s="3" t="s">
        <v>28</v>
      </c>
      <c r="T38" s="3" t="s">
        <v>31</v>
      </c>
      <c r="U38" s="3" t="s">
        <v>31</v>
      </c>
      <c r="V38" s="3" t="s">
        <v>29</v>
      </c>
      <c r="W38" s="3" t="s">
        <v>32</v>
      </c>
      <c r="X38" s="3" t="s">
        <v>31</v>
      </c>
      <c r="Y38" s="3" t="s">
        <v>31</v>
      </c>
      <c r="Z38" s="3" t="s">
        <v>29</v>
      </c>
      <c r="AA38" s="3" t="s">
        <v>28</v>
      </c>
    </row>
    <row r="39" ht="15.75" customHeight="1">
      <c r="A39" s="12">
        <v>38.0</v>
      </c>
      <c r="B39" s="13" t="s">
        <v>24</v>
      </c>
      <c r="C39" s="14" t="s">
        <v>105</v>
      </c>
      <c r="D39" s="15" t="s">
        <v>106</v>
      </c>
      <c r="E39" s="16"/>
      <c r="F39" s="17">
        <f t="shared" si="1"/>
        <v>-9019945106</v>
      </c>
      <c r="G39" s="15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5.75" customHeight="1">
      <c r="A40" s="7">
        <v>1.0</v>
      </c>
      <c r="B40" s="2" t="s">
        <v>107</v>
      </c>
      <c r="C40" s="3" t="s">
        <v>108</v>
      </c>
      <c r="D40" s="8" t="s">
        <v>109</v>
      </c>
      <c r="E40" s="9"/>
      <c r="F40" s="5">
        <f t="shared" si="1"/>
        <v>0</v>
      </c>
      <c r="G40" s="8" t="s">
        <v>108</v>
      </c>
      <c r="H40" s="3"/>
      <c r="I40" s="3" t="s">
        <v>28</v>
      </c>
      <c r="J40" s="3"/>
      <c r="K40" s="3" t="s">
        <v>28</v>
      </c>
      <c r="L40" s="3" t="s">
        <v>30</v>
      </c>
      <c r="M40" s="3" t="s">
        <v>29</v>
      </c>
      <c r="N40" s="3" t="s">
        <v>28</v>
      </c>
      <c r="O40" s="3"/>
      <c r="P40" s="3" t="s">
        <v>28</v>
      </c>
      <c r="Q40" s="3" t="s">
        <v>30</v>
      </c>
      <c r="R40" s="3" t="s">
        <v>32</v>
      </c>
      <c r="S40" s="3"/>
      <c r="T40" s="3" t="s">
        <v>31</v>
      </c>
      <c r="U40" s="3"/>
      <c r="V40" s="3" t="s">
        <v>31</v>
      </c>
      <c r="W40" s="3" t="s">
        <v>30</v>
      </c>
      <c r="X40" s="3" t="s">
        <v>31</v>
      </c>
      <c r="Y40" s="3" t="s">
        <v>31</v>
      </c>
      <c r="Z40" s="3" t="s">
        <v>31</v>
      </c>
      <c r="AA40" s="3"/>
    </row>
    <row r="41" ht="15.75" customHeight="1">
      <c r="A41" s="7">
        <v>2.0</v>
      </c>
      <c r="B41" s="2" t="s">
        <v>107</v>
      </c>
      <c r="C41" s="3" t="s">
        <v>110</v>
      </c>
      <c r="D41" s="8" t="s">
        <v>111</v>
      </c>
      <c r="E41" s="9"/>
      <c r="F41" s="5">
        <f t="shared" si="1"/>
        <v>-9868770181</v>
      </c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7">
        <v>3.0</v>
      </c>
      <c r="B42" s="2" t="s">
        <v>107</v>
      </c>
      <c r="C42" s="3" t="s">
        <v>112</v>
      </c>
      <c r="D42" s="8" t="s">
        <v>113</v>
      </c>
      <c r="E42" s="9"/>
      <c r="F42" s="5">
        <f t="shared" si="1"/>
        <v>0</v>
      </c>
      <c r="G42" s="8" t="s">
        <v>112</v>
      </c>
      <c r="H42" s="3" t="s">
        <v>28</v>
      </c>
      <c r="I42" s="3" t="s">
        <v>29</v>
      </c>
      <c r="J42" s="3" t="s">
        <v>32</v>
      </c>
      <c r="K42" s="3" t="s">
        <v>28</v>
      </c>
      <c r="L42" s="3" t="s">
        <v>28</v>
      </c>
      <c r="M42" s="3" t="s">
        <v>29</v>
      </c>
      <c r="N42" s="3" t="s">
        <v>32</v>
      </c>
      <c r="O42" s="3" t="s">
        <v>31</v>
      </c>
      <c r="P42" s="3" t="s">
        <v>28</v>
      </c>
      <c r="Q42" s="3" t="s">
        <v>30</v>
      </c>
      <c r="R42" s="3" t="s">
        <v>32</v>
      </c>
      <c r="S42" s="3" t="s">
        <v>28</v>
      </c>
      <c r="T42" s="3" t="s">
        <v>31</v>
      </c>
      <c r="U42" s="3" t="s">
        <v>29</v>
      </c>
      <c r="V42" s="3" t="s">
        <v>30</v>
      </c>
      <c r="W42" s="3" t="s">
        <v>32</v>
      </c>
      <c r="X42" s="3" t="s">
        <v>31</v>
      </c>
      <c r="Y42" s="3" t="s">
        <v>28</v>
      </c>
      <c r="Z42" s="3" t="s">
        <v>32</v>
      </c>
      <c r="AA42" s="3" t="s">
        <v>32</v>
      </c>
    </row>
    <row r="43" ht="15.75" customHeight="1">
      <c r="A43" s="7">
        <v>4.0</v>
      </c>
      <c r="B43" s="2" t="s">
        <v>107</v>
      </c>
      <c r="C43" s="3" t="s">
        <v>114</v>
      </c>
      <c r="D43" s="8" t="s">
        <v>115</v>
      </c>
      <c r="E43" s="9"/>
      <c r="F43" s="5">
        <f t="shared" si="1"/>
        <v>0</v>
      </c>
      <c r="G43" s="8" t="s">
        <v>114</v>
      </c>
      <c r="H43" s="3" t="s">
        <v>30</v>
      </c>
      <c r="I43" s="3" t="s">
        <v>28</v>
      </c>
      <c r="J43" s="3" t="s">
        <v>31</v>
      </c>
      <c r="K43" s="3" t="s">
        <v>28</v>
      </c>
      <c r="L43" s="3" t="s">
        <v>32</v>
      </c>
      <c r="M43" s="3" t="s">
        <v>28</v>
      </c>
      <c r="N43" s="3" t="s">
        <v>31</v>
      </c>
      <c r="O43" s="3" t="s">
        <v>31</v>
      </c>
      <c r="P43" s="3" t="s">
        <v>30</v>
      </c>
      <c r="Q43" s="3" t="s">
        <v>30</v>
      </c>
      <c r="R43" s="3" t="s">
        <v>32</v>
      </c>
      <c r="S43" s="3" t="s">
        <v>28</v>
      </c>
      <c r="T43" s="3" t="s">
        <v>31</v>
      </c>
      <c r="U43" s="3" t="s">
        <v>31</v>
      </c>
      <c r="V43" s="3" t="s">
        <v>28</v>
      </c>
      <c r="W43" s="3" t="s">
        <v>28</v>
      </c>
      <c r="X43" s="3" t="s">
        <v>31</v>
      </c>
      <c r="Y43" s="3" t="s">
        <v>32</v>
      </c>
      <c r="Z43" s="3" t="s">
        <v>31</v>
      </c>
      <c r="AA43" s="3" t="s">
        <v>32</v>
      </c>
    </row>
    <row r="44" ht="15.75" customHeight="1">
      <c r="A44" s="7">
        <v>5.0</v>
      </c>
      <c r="B44" s="2" t="s">
        <v>107</v>
      </c>
      <c r="C44" s="3" t="s">
        <v>116</v>
      </c>
      <c r="D44" s="8" t="s">
        <v>117</v>
      </c>
      <c r="E44" s="9"/>
      <c r="F44" s="5">
        <f t="shared" si="1"/>
        <v>0</v>
      </c>
      <c r="G44" s="8" t="s">
        <v>116</v>
      </c>
      <c r="H44" s="3" t="s">
        <v>31</v>
      </c>
      <c r="I44" s="3" t="s">
        <v>28</v>
      </c>
      <c r="J44" s="3" t="s">
        <v>28</v>
      </c>
      <c r="K44" s="3" t="s">
        <v>28</v>
      </c>
      <c r="L44" s="3" t="s">
        <v>28</v>
      </c>
      <c r="M44" s="3" t="s">
        <v>31</v>
      </c>
      <c r="N44" s="3" t="s">
        <v>30</v>
      </c>
      <c r="O44" s="3" t="s">
        <v>28</v>
      </c>
      <c r="P44" s="3" t="s">
        <v>32</v>
      </c>
      <c r="Q44" s="3" t="s">
        <v>30</v>
      </c>
      <c r="R44" s="3" t="s">
        <v>32</v>
      </c>
      <c r="S44" s="3" t="s">
        <v>28</v>
      </c>
      <c r="T44" s="3" t="s">
        <v>31</v>
      </c>
      <c r="U44" s="3" t="s">
        <v>30</v>
      </c>
      <c r="V44" s="3" t="s">
        <v>30</v>
      </c>
      <c r="W44" s="3" t="s">
        <v>31</v>
      </c>
      <c r="X44" s="3" t="s">
        <v>31</v>
      </c>
      <c r="Y44" s="3" t="s">
        <v>30</v>
      </c>
      <c r="Z44" s="3" t="s">
        <v>31</v>
      </c>
      <c r="AA44" s="3" t="s">
        <v>32</v>
      </c>
    </row>
    <row r="45" ht="15.75" customHeight="1">
      <c r="A45" s="7">
        <v>6.0</v>
      </c>
      <c r="B45" s="2" t="s">
        <v>107</v>
      </c>
      <c r="C45" s="3" t="s">
        <v>118</v>
      </c>
      <c r="D45" s="11" t="s">
        <v>119</v>
      </c>
      <c r="E45" s="9"/>
      <c r="F45" s="5">
        <f t="shared" si="1"/>
        <v>0</v>
      </c>
      <c r="G45" s="8" t="s">
        <v>118</v>
      </c>
      <c r="H45" s="3" t="s">
        <v>29</v>
      </c>
      <c r="I45" s="3" t="s">
        <v>28</v>
      </c>
      <c r="J45" s="3" t="s">
        <v>30</v>
      </c>
      <c r="K45" s="3" t="s">
        <v>28</v>
      </c>
      <c r="L45" s="3" t="s">
        <v>32</v>
      </c>
      <c r="M45" s="3" t="s">
        <v>28</v>
      </c>
      <c r="N45" s="3" t="s">
        <v>30</v>
      </c>
      <c r="O45" s="3" t="s">
        <v>28</v>
      </c>
      <c r="P45" s="3" t="s">
        <v>28</v>
      </c>
      <c r="Q45" s="3" t="s">
        <v>29</v>
      </c>
      <c r="R45" s="3" t="s">
        <v>28</v>
      </c>
      <c r="S45" s="3" t="s">
        <v>28</v>
      </c>
      <c r="T45" s="3" t="s">
        <v>31</v>
      </c>
      <c r="U45" s="3" t="s">
        <v>30</v>
      </c>
      <c r="V45" s="3" t="s">
        <v>30</v>
      </c>
      <c r="W45" s="3" t="s">
        <v>32</v>
      </c>
      <c r="X45" s="3" t="s">
        <v>30</v>
      </c>
      <c r="Y45" s="3" t="s">
        <v>31</v>
      </c>
      <c r="Z45" s="3" t="s">
        <v>32</v>
      </c>
      <c r="AA45" s="3" t="s">
        <v>30</v>
      </c>
    </row>
    <row r="46" ht="15.75" customHeight="1">
      <c r="A46" s="7">
        <v>7.0</v>
      </c>
      <c r="B46" s="2" t="s">
        <v>107</v>
      </c>
      <c r="C46" s="3" t="s">
        <v>120</v>
      </c>
      <c r="D46" s="8" t="s">
        <v>121</v>
      </c>
      <c r="E46" s="9"/>
      <c r="F46" s="5">
        <f t="shared" si="1"/>
        <v>-9181777159</v>
      </c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7">
        <v>8.0</v>
      </c>
      <c r="B47" s="2" t="s">
        <v>107</v>
      </c>
      <c r="C47" s="3" t="s">
        <v>122</v>
      </c>
      <c r="D47" s="8" t="s">
        <v>123</v>
      </c>
      <c r="E47" s="9"/>
      <c r="F47" s="5">
        <f t="shared" si="1"/>
        <v>0</v>
      </c>
      <c r="G47" s="8" t="s">
        <v>122</v>
      </c>
      <c r="H47" s="3" t="s">
        <v>29</v>
      </c>
      <c r="I47" s="3" t="s">
        <v>28</v>
      </c>
      <c r="J47" s="3" t="s">
        <v>31</v>
      </c>
      <c r="K47" s="3" t="s">
        <v>28</v>
      </c>
      <c r="L47" s="3" t="s">
        <v>32</v>
      </c>
      <c r="M47" s="3" t="s">
        <v>28</v>
      </c>
      <c r="N47" s="3" t="s">
        <v>31</v>
      </c>
      <c r="O47" s="3" t="s">
        <v>31</v>
      </c>
      <c r="P47" s="3" t="s">
        <v>28</v>
      </c>
      <c r="Q47" s="3" t="s">
        <v>30</v>
      </c>
      <c r="R47" s="3" t="s">
        <v>32</v>
      </c>
      <c r="S47" s="3" t="s">
        <v>28</v>
      </c>
      <c r="T47" s="3" t="s">
        <v>31</v>
      </c>
      <c r="U47" s="3" t="s">
        <v>31</v>
      </c>
      <c r="V47" s="3" t="s">
        <v>29</v>
      </c>
      <c r="W47" s="3" t="s">
        <v>32</v>
      </c>
      <c r="X47" s="3" t="s">
        <v>31</v>
      </c>
      <c r="Y47" s="3" t="s">
        <v>32</v>
      </c>
      <c r="Z47" s="3" t="s">
        <v>31</v>
      </c>
      <c r="AA47" s="3" t="s">
        <v>28</v>
      </c>
    </row>
    <row r="48" ht="15.75" customHeight="1">
      <c r="A48" s="7">
        <v>9.0</v>
      </c>
      <c r="B48" s="2" t="s">
        <v>107</v>
      </c>
      <c r="C48" s="3" t="s">
        <v>124</v>
      </c>
      <c r="D48" s="8" t="s">
        <v>125</v>
      </c>
      <c r="E48" s="9"/>
      <c r="F48" s="5">
        <f t="shared" si="1"/>
        <v>0</v>
      </c>
      <c r="G48" s="8" t="s">
        <v>124</v>
      </c>
      <c r="H48" s="3" t="s">
        <v>29</v>
      </c>
      <c r="I48" s="3" t="s">
        <v>28</v>
      </c>
      <c r="J48" s="3" t="s">
        <v>30</v>
      </c>
      <c r="K48" s="3" t="s">
        <v>28</v>
      </c>
      <c r="L48" s="3" t="s">
        <v>28</v>
      </c>
      <c r="M48" s="3" t="s">
        <v>28</v>
      </c>
      <c r="N48" s="3" t="s">
        <v>31</v>
      </c>
      <c r="O48" s="3" t="s">
        <v>31</v>
      </c>
      <c r="P48" s="3" t="s">
        <v>28</v>
      </c>
      <c r="Q48" s="3" t="s">
        <v>30</v>
      </c>
      <c r="R48" s="3" t="s">
        <v>32</v>
      </c>
      <c r="S48" s="3" t="s">
        <v>28</v>
      </c>
      <c r="T48" s="3" t="s">
        <v>31</v>
      </c>
      <c r="U48" s="3" t="s">
        <v>31</v>
      </c>
      <c r="V48" s="3" t="s">
        <v>30</v>
      </c>
      <c r="W48" s="3" t="s">
        <v>32</v>
      </c>
      <c r="X48" s="3" t="s">
        <v>31</v>
      </c>
      <c r="Y48" s="3" t="s">
        <v>31</v>
      </c>
      <c r="Z48" s="3" t="s">
        <v>31</v>
      </c>
      <c r="AA48" s="3" t="s">
        <v>30</v>
      </c>
    </row>
    <row r="49" ht="15.75" customHeight="1">
      <c r="A49" s="7">
        <v>10.0</v>
      </c>
      <c r="B49" s="2" t="s">
        <v>107</v>
      </c>
      <c r="C49" s="3" t="s">
        <v>126</v>
      </c>
      <c r="D49" s="8" t="s">
        <v>127</v>
      </c>
      <c r="E49" s="9"/>
      <c r="F49" s="5">
        <f t="shared" si="1"/>
        <v>0</v>
      </c>
      <c r="G49" s="8" t="s">
        <v>126</v>
      </c>
      <c r="H49" s="3" t="s">
        <v>28</v>
      </c>
      <c r="I49" s="3" t="s">
        <v>28</v>
      </c>
      <c r="J49" s="3" t="s">
        <v>29</v>
      </c>
      <c r="K49" s="3" t="s">
        <v>28</v>
      </c>
      <c r="L49" s="3" t="s">
        <v>28</v>
      </c>
      <c r="M49" s="3" t="s">
        <v>31</v>
      </c>
      <c r="N49" s="3" t="s">
        <v>30</v>
      </c>
      <c r="O49" s="3" t="s">
        <v>28</v>
      </c>
      <c r="P49" s="3" t="s">
        <v>30</v>
      </c>
      <c r="Q49" s="3" t="s">
        <v>30</v>
      </c>
      <c r="R49" s="3" t="s">
        <v>32</v>
      </c>
      <c r="S49" s="3" t="s">
        <v>28</v>
      </c>
      <c r="T49" s="3" t="s">
        <v>31</v>
      </c>
      <c r="U49" s="3" t="s">
        <v>28</v>
      </c>
      <c r="V49" s="3" t="s">
        <v>29</v>
      </c>
      <c r="W49" s="3" t="s">
        <v>28</v>
      </c>
      <c r="X49" s="3" t="s">
        <v>31</v>
      </c>
      <c r="Y49" s="3" t="s">
        <v>28</v>
      </c>
      <c r="Z49" s="3" t="s">
        <v>32</v>
      </c>
      <c r="AA49" s="3" t="s">
        <v>32</v>
      </c>
    </row>
    <row r="50" ht="15.75" customHeight="1">
      <c r="A50" s="7">
        <v>11.0</v>
      </c>
      <c r="B50" s="2" t="s">
        <v>107</v>
      </c>
      <c r="C50" s="3" t="s">
        <v>128</v>
      </c>
      <c r="D50" s="8" t="s">
        <v>129</v>
      </c>
      <c r="E50" s="9"/>
      <c r="F50" s="5">
        <f t="shared" si="1"/>
        <v>0</v>
      </c>
      <c r="G50" s="8" t="s">
        <v>128</v>
      </c>
      <c r="H50" s="3" t="s">
        <v>29</v>
      </c>
      <c r="I50" s="3" t="s">
        <v>28</v>
      </c>
      <c r="J50" s="3" t="s">
        <v>30</v>
      </c>
      <c r="K50" s="3" t="s">
        <v>28</v>
      </c>
      <c r="L50" s="3" t="s">
        <v>28</v>
      </c>
      <c r="M50" s="3" t="s">
        <v>29</v>
      </c>
      <c r="N50" s="3" t="s">
        <v>31</v>
      </c>
      <c r="O50" s="3" t="s">
        <v>31</v>
      </c>
      <c r="P50" s="3" t="s">
        <v>28</v>
      </c>
      <c r="Q50" s="3" t="s">
        <v>30</v>
      </c>
      <c r="R50" s="3" t="s">
        <v>32</v>
      </c>
      <c r="S50" s="3" t="s">
        <v>28</v>
      </c>
      <c r="T50" s="3" t="s">
        <v>31</v>
      </c>
      <c r="U50" s="3" t="s">
        <v>31</v>
      </c>
      <c r="V50" s="3" t="s">
        <v>30</v>
      </c>
      <c r="W50" s="3" t="s">
        <v>32</v>
      </c>
      <c r="X50" s="3" t="s">
        <v>31</v>
      </c>
      <c r="Y50" s="3" t="s">
        <v>28</v>
      </c>
      <c r="Z50" s="3" t="s">
        <v>31</v>
      </c>
      <c r="AA50" s="3" t="s">
        <v>28</v>
      </c>
    </row>
    <row r="51" ht="15.75" customHeight="1">
      <c r="A51" s="7">
        <v>12.0</v>
      </c>
      <c r="B51" s="2" t="s">
        <v>107</v>
      </c>
      <c r="C51" s="3" t="s">
        <v>130</v>
      </c>
      <c r="D51" s="10" t="s">
        <v>131</v>
      </c>
      <c r="E51" s="9"/>
      <c r="F51" s="5">
        <f t="shared" si="1"/>
        <v>0</v>
      </c>
      <c r="G51" s="8" t="s">
        <v>130</v>
      </c>
      <c r="H51" s="3" t="s">
        <v>29</v>
      </c>
      <c r="I51" s="3" t="s">
        <v>31</v>
      </c>
      <c r="J51" s="3" t="s">
        <v>30</v>
      </c>
      <c r="K51" s="3" t="s">
        <v>30</v>
      </c>
      <c r="L51" s="3" t="s">
        <v>32</v>
      </c>
      <c r="M51" s="3" t="s">
        <v>28</v>
      </c>
      <c r="N51" s="3" t="s">
        <v>31</v>
      </c>
      <c r="O51" s="3" t="s">
        <v>28</v>
      </c>
      <c r="P51" s="3" t="s">
        <v>28</v>
      </c>
      <c r="Q51" s="3" t="s">
        <v>31</v>
      </c>
      <c r="R51" s="3" t="s">
        <v>32</v>
      </c>
      <c r="S51" s="3" t="s">
        <v>28</v>
      </c>
      <c r="T51" s="3" t="s">
        <v>29</v>
      </c>
      <c r="U51" s="3" t="s">
        <v>31</v>
      </c>
      <c r="V51" s="3" t="s">
        <v>31</v>
      </c>
      <c r="W51" s="3" t="s">
        <v>30</v>
      </c>
      <c r="X51" s="3" t="s">
        <v>31</v>
      </c>
      <c r="Y51" s="3" t="s">
        <v>28</v>
      </c>
      <c r="Z51" s="3" t="s">
        <v>29</v>
      </c>
      <c r="AA51" s="3" t="s">
        <v>30</v>
      </c>
    </row>
    <row r="52" ht="15.75" customHeight="1">
      <c r="A52" s="7">
        <v>13.0</v>
      </c>
      <c r="B52" s="2" t="s">
        <v>107</v>
      </c>
      <c r="C52" s="3" t="s">
        <v>132</v>
      </c>
      <c r="D52" s="8" t="s">
        <v>133</v>
      </c>
      <c r="E52" s="9"/>
      <c r="F52" s="5">
        <f t="shared" si="1"/>
        <v>-70967097118</v>
      </c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7">
        <v>14.0</v>
      </c>
      <c r="B53" s="2" t="s">
        <v>107</v>
      </c>
      <c r="C53" s="3" t="s">
        <v>134</v>
      </c>
      <c r="D53" s="10" t="s">
        <v>135</v>
      </c>
      <c r="E53" s="9"/>
      <c r="F53" s="5">
        <f t="shared" si="1"/>
        <v>0</v>
      </c>
      <c r="G53" s="8" t="s">
        <v>134</v>
      </c>
      <c r="H53" s="3" t="s">
        <v>30</v>
      </c>
      <c r="I53" s="3" t="s">
        <v>28</v>
      </c>
      <c r="J53" s="3" t="s">
        <v>30</v>
      </c>
      <c r="K53" s="3" t="s">
        <v>29</v>
      </c>
      <c r="L53" s="3" t="s">
        <v>32</v>
      </c>
      <c r="M53" s="3" t="s">
        <v>30</v>
      </c>
      <c r="N53" s="3" t="s">
        <v>31</v>
      </c>
      <c r="O53" s="3" t="s">
        <v>30</v>
      </c>
      <c r="P53" s="3" t="s">
        <v>32</v>
      </c>
      <c r="Q53" s="3" t="s">
        <v>28</v>
      </c>
      <c r="R53" s="3" t="s">
        <v>28</v>
      </c>
      <c r="S53" s="3" t="s">
        <v>28</v>
      </c>
      <c r="T53" s="3" t="s">
        <v>31</v>
      </c>
      <c r="U53" s="3" t="s">
        <v>32</v>
      </c>
      <c r="V53" s="3" t="s">
        <v>31</v>
      </c>
      <c r="W53" s="3" t="s">
        <v>28</v>
      </c>
      <c r="X53" s="3" t="s">
        <v>31</v>
      </c>
      <c r="Y53" s="3" t="s">
        <v>28</v>
      </c>
      <c r="Z53" s="3" t="s">
        <v>32</v>
      </c>
      <c r="AA53" s="3" t="s">
        <v>32</v>
      </c>
    </row>
    <row r="54" ht="15.75" customHeight="1">
      <c r="A54" s="7">
        <v>15.0</v>
      </c>
      <c r="B54" s="2" t="s">
        <v>107</v>
      </c>
      <c r="C54" s="3" t="s">
        <v>136</v>
      </c>
      <c r="D54" s="8" t="s">
        <v>137</v>
      </c>
      <c r="E54" s="9"/>
      <c r="F54" s="5">
        <f t="shared" si="1"/>
        <v>0</v>
      </c>
      <c r="G54" s="8" t="s">
        <v>136</v>
      </c>
      <c r="H54" s="3" t="s">
        <v>30</v>
      </c>
      <c r="I54" s="3" t="s">
        <v>28</v>
      </c>
      <c r="J54" s="3" t="s">
        <v>31</v>
      </c>
      <c r="K54" s="3" t="s">
        <v>28</v>
      </c>
      <c r="L54" s="3" t="s">
        <v>32</v>
      </c>
      <c r="M54" s="3" t="s">
        <v>29</v>
      </c>
      <c r="N54" s="3" t="s">
        <v>28</v>
      </c>
      <c r="O54" s="3" t="s">
        <v>30</v>
      </c>
      <c r="P54" s="3" t="s">
        <v>29</v>
      </c>
      <c r="Q54" s="3" t="s">
        <v>28</v>
      </c>
      <c r="R54" s="3" t="s">
        <v>32</v>
      </c>
      <c r="S54" s="3" t="s">
        <v>28</v>
      </c>
      <c r="T54" s="3" t="s">
        <v>31</v>
      </c>
      <c r="U54" s="3" t="s">
        <v>31</v>
      </c>
      <c r="V54" s="3" t="s">
        <v>30</v>
      </c>
      <c r="W54" s="3" t="s">
        <v>31</v>
      </c>
      <c r="X54" s="3" t="s">
        <v>31</v>
      </c>
      <c r="Y54" s="3" t="s">
        <v>28</v>
      </c>
      <c r="Z54" s="3" t="s">
        <v>31</v>
      </c>
      <c r="AA54" s="3" t="s">
        <v>28</v>
      </c>
    </row>
    <row r="55" ht="15.75" customHeight="1">
      <c r="A55" s="7">
        <v>16.0</v>
      </c>
      <c r="B55" s="2" t="s">
        <v>107</v>
      </c>
      <c r="C55" s="3" t="s">
        <v>138</v>
      </c>
      <c r="D55" s="8" t="s">
        <v>139</v>
      </c>
      <c r="E55" s="9"/>
      <c r="F55" s="5">
        <f t="shared" si="1"/>
        <v>0</v>
      </c>
      <c r="G55" s="8" t="s">
        <v>138</v>
      </c>
      <c r="H55" s="3" t="s">
        <v>31</v>
      </c>
      <c r="I55" s="3" t="s">
        <v>30</v>
      </c>
      <c r="J55" s="3" t="s">
        <v>32</v>
      </c>
      <c r="K55" s="3" t="s">
        <v>28</v>
      </c>
      <c r="L55" s="3" t="s">
        <v>28</v>
      </c>
      <c r="M55" s="3" t="s">
        <v>30</v>
      </c>
      <c r="N55" s="3" t="s">
        <v>31</v>
      </c>
      <c r="O55" s="3" t="s">
        <v>30</v>
      </c>
      <c r="P55" s="3" t="s">
        <v>31</v>
      </c>
      <c r="Q55" s="3" t="s">
        <v>29</v>
      </c>
      <c r="R55" s="3" t="s">
        <v>28</v>
      </c>
      <c r="S55" s="3" t="s">
        <v>32</v>
      </c>
      <c r="T55" s="3" t="s">
        <v>28</v>
      </c>
      <c r="U55" s="3" t="s">
        <v>30</v>
      </c>
      <c r="V55" s="3" t="s">
        <v>32</v>
      </c>
      <c r="W55" s="3" t="s">
        <v>28</v>
      </c>
      <c r="X55" s="3" t="s">
        <v>30</v>
      </c>
      <c r="Y55" s="3" t="s">
        <v>31</v>
      </c>
      <c r="Z55" s="3" t="s">
        <v>29</v>
      </c>
      <c r="AA55" s="3" t="s">
        <v>29</v>
      </c>
    </row>
    <row r="56" ht="15.75" customHeight="1">
      <c r="A56" s="7">
        <v>17.0</v>
      </c>
      <c r="B56" s="2" t="s">
        <v>107</v>
      </c>
      <c r="C56" s="3" t="s">
        <v>140</v>
      </c>
      <c r="D56" s="8" t="s">
        <v>141</v>
      </c>
      <c r="E56" s="9"/>
      <c r="F56" s="5">
        <f t="shared" si="1"/>
        <v>0</v>
      </c>
      <c r="G56" s="8" t="s">
        <v>140</v>
      </c>
      <c r="H56" s="3" t="s">
        <v>29</v>
      </c>
      <c r="I56" s="3" t="s">
        <v>28</v>
      </c>
      <c r="J56" s="3" t="s">
        <v>32</v>
      </c>
      <c r="K56" s="3" t="s">
        <v>28</v>
      </c>
      <c r="L56" s="3" t="s">
        <v>32</v>
      </c>
      <c r="M56" s="3" t="s">
        <v>28</v>
      </c>
      <c r="N56" s="3" t="s">
        <v>31</v>
      </c>
      <c r="O56" s="3" t="s">
        <v>31</v>
      </c>
      <c r="P56" s="3" t="s">
        <v>28</v>
      </c>
      <c r="Q56" s="3" t="s">
        <v>30</v>
      </c>
      <c r="R56" s="3" t="s">
        <v>32</v>
      </c>
      <c r="S56" s="3" t="s">
        <v>28</v>
      </c>
      <c r="T56" s="3" t="s">
        <v>31</v>
      </c>
      <c r="U56" s="3" t="s">
        <v>30</v>
      </c>
      <c r="V56" s="3" t="s">
        <v>30</v>
      </c>
      <c r="W56" s="3" t="s">
        <v>28</v>
      </c>
      <c r="X56" s="3" t="s">
        <v>31</v>
      </c>
      <c r="Y56" s="3" t="s">
        <v>32</v>
      </c>
      <c r="Z56" s="3" t="s">
        <v>31</v>
      </c>
      <c r="AA56" s="3" t="s">
        <v>32</v>
      </c>
    </row>
    <row r="57" ht="15.75" customHeight="1">
      <c r="A57" s="7">
        <v>18.0</v>
      </c>
      <c r="B57" s="2" t="s">
        <v>107</v>
      </c>
      <c r="C57" s="3" t="s">
        <v>142</v>
      </c>
      <c r="D57" s="8" t="s">
        <v>143</v>
      </c>
      <c r="E57" s="9"/>
      <c r="F57" s="5">
        <f t="shared" si="1"/>
        <v>0</v>
      </c>
      <c r="G57" s="8" t="s">
        <v>142</v>
      </c>
      <c r="H57" s="3" t="s">
        <v>29</v>
      </c>
      <c r="I57" s="3" t="s">
        <v>28</v>
      </c>
      <c r="J57" s="3" t="s">
        <v>30</v>
      </c>
      <c r="K57" s="3" t="s">
        <v>28</v>
      </c>
      <c r="L57" s="3" t="s">
        <v>28</v>
      </c>
      <c r="M57" s="3" t="s">
        <v>29</v>
      </c>
      <c r="N57" s="3" t="s">
        <v>31</v>
      </c>
      <c r="O57" s="3" t="s">
        <v>28</v>
      </c>
      <c r="P57" s="3" t="s">
        <v>30</v>
      </c>
      <c r="Q57" s="3" t="s">
        <v>30</v>
      </c>
      <c r="R57" s="3" t="s">
        <v>32</v>
      </c>
      <c r="S57" s="3" t="s">
        <v>28</v>
      </c>
      <c r="T57" s="3" t="s">
        <v>31</v>
      </c>
      <c r="U57" s="3" t="s">
        <v>31</v>
      </c>
      <c r="V57" s="3" t="s">
        <v>30</v>
      </c>
      <c r="W57" s="3" t="s">
        <v>31</v>
      </c>
      <c r="X57" s="3" t="s">
        <v>31</v>
      </c>
      <c r="Y57" s="3" t="s">
        <v>32</v>
      </c>
      <c r="Z57" s="3" t="s">
        <v>31</v>
      </c>
      <c r="AA57" s="3" t="s">
        <v>32</v>
      </c>
    </row>
    <row r="58" ht="15.75" customHeight="1">
      <c r="A58" s="7">
        <v>19.0</v>
      </c>
      <c r="B58" s="2" t="s">
        <v>107</v>
      </c>
      <c r="C58" s="3" t="s">
        <v>144</v>
      </c>
      <c r="D58" s="8" t="s">
        <v>145</v>
      </c>
      <c r="E58" s="9"/>
      <c r="F58" s="5">
        <f t="shared" si="1"/>
        <v>0</v>
      </c>
      <c r="G58" s="8" t="s">
        <v>144</v>
      </c>
      <c r="H58" s="3" t="s">
        <v>28</v>
      </c>
      <c r="I58" s="3" t="s">
        <v>29</v>
      </c>
      <c r="J58" s="3" t="s">
        <v>32</v>
      </c>
      <c r="K58" s="3" t="s">
        <v>28</v>
      </c>
      <c r="L58" s="3" t="s">
        <v>32</v>
      </c>
      <c r="M58" s="3" t="s">
        <v>30</v>
      </c>
      <c r="N58" s="3" t="s">
        <v>28</v>
      </c>
      <c r="O58" s="3" t="s">
        <v>31</v>
      </c>
      <c r="P58" s="3" t="s">
        <v>28</v>
      </c>
      <c r="Q58" s="3" t="s">
        <v>29</v>
      </c>
      <c r="R58" s="3" t="s">
        <v>32</v>
      </c>
      <c r="S58" s="3" t="s">
        <v>28</v>
      </c>
      <c r="T58" s="3" t="s">
        <v>30</v>
      </c>
      <c r="U58" s="3" t="s">
        <v>31</v>
      </c>
      <c r="V58" s="3" t="s">
        <v>29</v>
      </c>
      <c r="W58" s="3" t="s">
        <v>32</v>
      </c>
      <c r="X58" s="3" t="s">
        <v>31</v>
      </c>
      <c r="Y58" s="3" t="s">
        <v>28</v>
      </c>
      <c r="Z58" s="3" t="s">
        <v>29</v>
      </c>
      <c r="AA58" s="3" t="s">
        <v>30</v>
      </c>
    </row>
    <row r="59" ht="15.75" customHeight="1">
      <c r="A59" s="7">
        <v>20.0</v>
      </c>
      <c r="B59" s="2" t="s">
        <v>107</v>
      </c>
      <c r="C59" s="3" t="s">
        <v>146</v>
      </c>
      <c r="D59" s="8" t="s">
        <v>147</v>
      </c>
      <c r="E59" s="9"/>
      <c r="F59" s="5">
        <f t="shared" si="1"/>
        <v>0</v>
      </c>
      <c r="G59" s="8" t="s">
        <v>146</v>
      </c>
      <c r="H59" s="3" t="s">
        <v>30</v>
      </c>
      <c r="I59" s="3" t="s">
        <v>28</v>
      </c>
      <c r="J59" s="3" t="s">
        <v>29</v>
      </c>
      <c r="K59" s="3" t="s">
        <v>28</v>
      </c>
      <c r="L59" s="3" t="s">
        <v>32</v>
      </c>
      <c r="M59" s="3" t="s">
        <v>29</v>
      </c>
      <c r="N59" s="3" t="s">
        <v>30</v>
      </c>
      <c r="O59" s="3" t="s">
        <v>31</v>
      </c>
      <c r="P59" s="3" t="s">
        <v>30</v>
      </c>
      <c r="Q59" s="3" t="s">
        <v>28</v>
      </c>
      <c r="R59" s="3" t="s">
        <v>32</v>
      </c>
      <c r="S59" s="3" t="s">
        <v>28</v>
      </c>
      <c r="T59" s="3" t="s">
        <v>31</v>
      </c>
      <c r="U59" s="3" t="s">
        <v>32</v>
      </c>
      <c r="V59" s="3" t="s">
        <v>31</v>
      </c>
      <c r="W59" s="3" t="s">
        <v>29</v>
      </c>
      <c r="X59" s="3" t="s">
        <v>31</v>
      </c>
      <c r="Y59" s="3" t="s">
        <v>28</v>
      </c>
      <c r="Z59" s="3" t="s">
        <v>28</v>
      </c>
      <c r="AA59" s="3" t="s">
        <v>28</v>
      </c>
    </row>
    <row r="60" ht="15.75" customHeight="1">
      <c r="A60" s="7">
        <v>21.0</v>
      </c>
      <c r="B60" s="2" t="s">
        <v>107</v>
      </c>
      <c r="C60" s="3" t="s">
        <v>148</v>
      </c>
      <c r="D60" s="10" t="s">
        <v>149</v>
      </c>
      <c r="E60" s="9"/>
      <c r="F60" s="5">
        <f t="shared" si="1"/>
        <v>0</v>
      </c>
      <c r="G60" s="8" t="s">
        <v>148</v>
      </c>
      <c r="H60" s="3" t="s">
        <v>28</v>
      </c>
      <c r="I60" s="3" t="s">
        <v>28</v>
      </c>
      <c r="J60" s="3" t="s">
        <v>31</v>
      </c>
      <c r="K60" s="3" t="s">
        <v>28</v>
      </c>
      <c r="L60" s="3" t="s">
        <v>28</v>
      </c>
      <c r="M60" s="3" t="s">
        <v>31</v>
      </c>
      <c r="N60" s="3" t="s">
        <v>32</v>
      </c>
      <c r="O60" s="3" t="s">
        <v>31</v>
      </c>
      <c r="P60" s="3" t="s">
        <v>28</v>
      </c>
      <c r="Q60" s="3" t="s">
        <v>30</v>
      </c>
      <c r="R60" s="3" t="s">
        <v>28</v>
      </c>
      <c r="S60" s="3" t="s">
        <v>28</v>
      </c>
      <c r="T60" s="3" t="s">
        <v>31</v>
      </c>
      <c r="U60" s="3" t="s">
        <v>31</v>
      </c>
      <c r="V60" s="3" t="s">
        <v>29</v>
      </c>
      <c r="W60" s="3" t="s">
        <v>31</v>
      </c>
      <c r="X60" s="3" t="s">
        <v>31</v>
      </c>
      <c r="Y60" s="3" t="s">
        <v>30</v>
      </c>
      <c r="Z60" s="3" t="s">
        <v>29</v>
      </c>
      <c r="AA60" s="3" t="s">
        <v>30</v>
      </c>
    </row>
    <row r="61" ht="15.75" customHeight="1">
      <c r="A61" s="7">
        <v>22.0</v>
      </c>
      <c r="B61" s="2" t="s">
        <v>107</v>
      </c>
      <c r="C61" s="3" t="s">
        <v>150</v>
      </c>
      <c r="D61" s="8" t="s">
        <v>151</v>
      </c>
      <c r="E61" s="9"/>
      <c r="F61" s="5">
        <f t="shared" si="1"/>
        <v>-9181820186</v>
      </c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7">
        <v>23.0</v>
      </c>
      <c r="B62" s="2" t="s">
        <v>107</v>
      </c>
      <c r="C62" s="3" t="s">
        <v>152</v>
      </c>
      <c r="D62" s="8" t="s">
        <v>153</v>
      </c>
      <c r="E62" s="9"/>
      <c r="F62" s="5">
        <f t="shared" si="1"/>
        <v>0</v>
      </c>
      <c r="G62" s="8" t="s">
        <v>152</v>
      </c>
      <c r="H62" s="3" t="s">
        <v>31</v>
      </c>
      <c r="I62" s="3" t="s">
        <v>28</v>
      </c>
      <c r="J62" s="3" t="s">
        <v>28</v>
      </c>
      <c r="K62" s="3" t="s">
        <v>28</v>
      </c>
      <c r="L62" s="3" t="s">
        <v>32</v>
      </c>
      <c r="M62" s="3" t="s">
        <v>32</v>
      </c>
      <c r="N62" s="3" t="s">
        <v>29</v>
      </c>
      <c r="O62" s="3" t="s">
        <v>28</v>
      </c>
      <c r="P62" s="3" t="s">
        <v>28</v>
      </c>
      <c r="Q62" s="3" t="s">
        <v>29</v>
      </c>
      <c r="R62" s="3" t="s">
        <v>32</v>
      </c>
      <c r="S62" s="3" t="s">
        <v>28</v>
      </c>
      <c r="T62" s="3" t="s">
        <v>31</v>
      </c>
      <c r="U62" s="3" t="s">
        <v>28</v>
      </c>
      <c r="V62" s="3" t="s">
        <v>30</v>
      </c>
      <c r="W62" s="3" t="s">
        <v>30</v>
      </c>
      <c r="X62" s="3" t="s">
        <v>31</v>
      </c>
      <c r="Y62" s="3" t="s">
        <v>32</v>
      </c>
      <c r="Z62" s="3" t="s">
        <v>28</v>
      </c>
      <c r="AA62" s="3" t="s">
        <v>28</v>
      </c>
    </row>
    <row r="63" ht="15.75" customHeight="1">
      <c r="A63" s="7">
        <v>24.0</v>
      </c>
      <c r="B63" s="2" t="s">
        <v>107</v>
      </c>
      <c r="C63" s="3" t="s">
        <v>154</v>
      </c>
      <c r="D63" s="8" t="s">
        <v>155</v>
      </c>
      <c r="E63" s="9"/>
      <c r="F63" s="5">
        <f t="shared" si="1"/>
        <v>0</v>
      </c>
      <c r="G63" s="8" t="s">
        <v>154</v>
      </c>
      <c r="H63" s="3" t="s">
        <v>30</v>
      </c>
      <c r="I63" s="3" t="s">
        <v>29</v>
      </c>
      <c r="J63" s="3" t="s">
        <v>29</v>
      </c>
      <c r="K63" s="3" t="s">
        <v>28</v>
      </c>
      <c r="L63" s="3" t="s">
        <v>28</v>
      </c>
      <c r="M63" s="3" t="s">
        <v>30</v>
      </c>
      <c r="N63" s="3" t="s">
        <v>30</v>
      </c>
      <c r="O63" s="3" t="s">
        <v>30</v>
      </c>
      <c r="P63" s="3" t="s">
        <v>28</v>
      </c>
      <c r="Q63" s="3" t="s">
        <v>30</v>
      </c>
      <c r="R63" s="3" t="s">
        <v>28</v>
      </c>
      <c r="S63" s="3" t="s">
        <v>28</v>
      </c>
      <c r="T63" s="3" t="s">
        <v>31</v>
      </c>
      <c r="U63" s="3" t="s">
        <v>28</v>
      </c>
      <c r="V63" s="3" t="s">
        <v>29</v>
      </c>
      <c r="W63" s="3" t="s">
        <v>32</v>
      </c>
      <c r="X63" s="3" t="s">
        <v>32</v>
      </c>
      <c r="Y63" s="3" t="s">
        <v>32</v>
      </c>
      <c r="Z63" s="3" t="s">
        <v>32</v>
      </c>
      <c r="AA63" s="3" t="s">
        <v>28</v>
      </c>
    </row>
    <row r="64" ht="15.75" customHeight="1">
      <c r="A64" s="7">
        <v>25.0</v>
      </c>
      <c r="B64" s="2" t="s">
        <v>107</v>
      </c>
      <c r="C64" s="3" t="s">
        <v>156</v>
      </c>
      <c r="D64" s="8" t="s">
        <v>157</v>
      </c>
      <c r="E64" s="9"/>
      <c r="F64" s="5">
        <f t="shared" si="1"/>
        <v>0</v>
      </c>
      <c r="G64" s="8" t="s">
        <v>156</v>
      </c>
      <c r="H64" s="3" t="s">
        <v>29</v>
      </c>
      <c r="I64" s="3" t="s">
        <v>28</v>
      </c>
      <c r="J64" s="3" t="s">
        <v>30</v>
      </c>
      <c r="K64" s="3" t="s">
        <v>28</v>
      </c>
      <c r="L64" s="3" t="s">
        <v>28</v>
      </c>
      <c r="M64" s="3" t="s">
        <v>30</v>
      </c>
      <c r="N64" s="3" t="s">
        <v>32</v>
      </c>
      <c r="O64" s="3" t="s">
        <v>28</v>
      </c>
      <c r="P64" s="3" t="s">
        <v>28</v>
      </c>
      <c r="Q64" s="3" t="s">
        <v>30</v>
      </c>
      <c r="R64" s="3" t="s">
        <v>32</v>
      </c>
      <c r="S64" s="3" t="s">
        <v>28</v>
      </c>
      <c r="T64" s="3" t="s">
        <v>31</v>
      </c>
      <c r="U64" s="3" t="s">
        <v>31</v>
      </c>
      <c r="V64" s="3" t="s">
        <v>30</v>
      </c>
      <c r="W64" s="3" t="s">
        <v>28</v>
      </c>
      <c r="X64" s="3" t="s">
        <v>31</v>
      </c>
      <c r="Y64" s="3" t="s">
        <v>28</v>
      </c>
      <c r="Z64" s="3" t="s">
        <v>31</v>
      </c>
      <c r="AA64" s="3" t="s">
        <v>28</v>
      </c>
    </row>
    <row r="65" ht="15.75" customHeight="1">
      <c r="A65" s="7">
        <v>26.0</v>
      </c>
      <c r="B65" s="2" t="s">
        <v>107</v>
      </c>
      <c r="C65" s="3" t="s">
        <v>158</v>
      </c>
      <c r="D65" s="8" t="s">
        <v>159</v>
      </c>
      <c r="E65" s="9"/>
      <c r="F65" s="5">
        <f t="shared" si="1"/>
        <v>0</v>
      </c>
      <c r="G65" s="8" t="s">
        <v>158</v>
      </c>
      <c r="H65" s="3" t="s">
        <v>29</v>
      </c>
      <c r="I65" s="3" t="s">
        <v>28</v>
      </c>
      <c r="J65" s="3" t="s">
        <v>32</v>
      </c>
      <c r="K65" s="3" t="s">
        <v>28</v>
      </c>
      <c r="L65" s="3" t="s">
        <v>28</v>
      </c>
      <c r="M65" s="3" t="s">
        <v>28</v>
      </c>
      <c r="N65" s="3" t="s">
        <v>32</v>
      </c>
      <c r="O65" s="3" t="s">
        <v>28</v>
      </c>
      <c r="P65" s="3" t="s">
        <v>31</v>
      </c>
      <c r="Q65" s="3" t="s">
        <v>30</v>
      </c>
      <c r="R65" s="3" t="s">
        <v>29</v>
      </c>
      <c r="S65" s="3" t="s">
        <v>28</v>
      </c>
      <c r="T65" s="3" t="s">
        <v>31</v>
      </c>
      <c r="U65" s="3" t="s">
        <v>30</v>
      </c>
      <c r="V65" s="3" t="s">
        <v>31</v>
      </c>
      <c r="W65" s="3" t="s">
        <v>31</v>
      </c>
      <c r="X65" s="3" t="s">
        <v>31</v>
      </c>
      <c r="Y65" s="3" t="s">
        <v>31</v>
      </c>
      <c r="Z65" s="3" t="s">
        <v>32</v>
      </c>
      <c r="AA65" s="3" t="s">
        <v>31</v>
      </c>
    </row>
    <row r="66" ht="15.75" customHeight="1">
      <c r="A66" s="7">
        <v>27.0</v>
      </c>
      <c r="B66" s="2" t="s">
        <v>107</v>
      </c>
      <c r="C66" s="3" t="s">
        <v>160</v>
      </c>
      <c r="D66" s="8" t="s">
        <v>161</v>
      </c>
      <c r="E66" s="9"/>
      <c r="F66" s="5">
        <f t="shared" si="1"/>
        <v>0</v>
      </c>
      <c r="G66" s="8" t="s">
        <v>160</v>
      </c>
      <c r="H66" s="3" t="s">
        <v>30</v>
      </c>
      <c r="I66" s="3" t="s">
        <v>28</v>
      </c>
      <c r="J66" s="3" t="s">
        <v>29</v>
      </c>
      <c r="K66" s="3" t="s">
        <v>28</v>
      </c>
      <c r="L66" s="3" t="s">
        <v>32</v>
      </c>
      <c r="M66" s="3" t="s">
        <v>29</v>
      </c>
      <c r="N66" s="3" t="s">
        <v>28</v>
      </c>
      <c r="O66" s="3" t="s">
        <v>30</v>
      </c>
      <c r="P66" s="3" t="s">
        <v>31</v>
      </c>
      <c r="Q66" s="3" t="s">
        <v>29</v>
      </c>
      <c r="R66" s="3" t="s">
        <v>32</v>
      </c>
      <c r="S66" s="3" t="s">
        <v>28</v>
      </c>
      <c r="T66" s="3" t="s">
        <v>31</v>
      </c>
      <c r="U66" s="3" t="s">
        <v>29</v>
      </c>
      <c r="V66" s="3" t="s">
        <v>31</v>
      </c>
      <c r="W66" s="3" t="s">
        <v>31</v>
      </c>
      <c r="X66" s="3" t="s">
        <v>31</v>
      </c>
      <c r="Y66" s="3" t="s">
        <v>30</v>
      </c>
      <c r="Z66" s="3" t="s">
        <v>31</v>
      </c>
      <c r="AA66" s="3" t="s">
        <v>28</v>
      </c>
    </row>
    <row r="67" ht="15.75" customHeight="1">
      <c r="A67" s="7">
        <v>28.0</v>
      </c>
      <c r="B67" s="2" t="s">
        <v>107</v>
      </c>
      <c r="C67" s="3" t="s">
        <v>162</v>
      </c>
      <c r="D67" s="8" t="s">
        <v>163</v>
      </c>
      <c r="E67" s="9"/>
      <c r="F67" s="5">
        <f t="shared" si="1"/>
        <v>0</v>
      </c>
      <c r="G67" s="8" t="s">
        <v>162</v>
      </c>
      <c r="H67" s="3" t="s">
        <v>30</v>
      </c>
      <c r="I67" s="3" t="s">
        <v>28</v>
      </c>
      <c r="J67" s="3" t="s">
        <v>32</v>
      </c>
      <c r="K67" s="3" t="s">
        <v>28</v>
      </c>
      <c r="L67" s="3" t="s">
        <v>32</v>
      </c>
      <c r="M67" s="3" t="s">
        <v>28</v>
      </c>
      <c r="N67" s="3" t="s">
        <v>29</v>
      </c>
      <c r="O67" s="3" t="s">
        <v>28</v>
      </c>
      <c r="P67" s="3" t="s">
        <v>30</v>
      </c>
      <c r="Q67" s="3" t="s">
        <v>31</v>
      </c>
      <c r="R67" s="3" t="s">
        <v>30</v>
      </c>
      <c r="S67" s="3" t="s">
        <v>28</v>
      </c>
      <c r="T67" s="3" t="s">
        <v>31</v>
      </c>
      <c r="U67" s="3" t="s">
        <v>30</v>
      </c>
      <c r="V67" s="3" t="s">
        <v>31</v>
      </c>
      <c r="W67" s="3" t="s">
        <v>29</v>
      </c>
      <c r="X67" s="3" t="s">
        <v>31</v>
      </c>
      <c r="Y67" s="3" t="s">
        <v>29</v>
      </c>
      <c r="Z67" s="3" t="s">
        <v>32</v>
      </c>
      <c r="AA67" s="3" t="s">
        <v>30</v>
      </c>
    </row>
    <row r="68" ht="15.75" customHeight="1">
      <c r="A68" s="7">
        <v>29.0</v>
      </c>
      <c r="B68" s="2" t="s">
        <v>107</v>
      </c>
      <c r="C68" s="3" t="s">
        <v>164</v>
      </c>
      <c r="D68" s="8" t="s">
        <v>165</v>
      </c>
      <c r="E68" s="9"/>
      <c r="F68" s="5">
        <f t="shared" si="1"/>
        <v>0</v>
      </c>
      <c r="G68" s="8" t="s">
        <v>164</v>
      </c>
      <c r="H68" s="3" t="s">
        <v>29</v>
      </c>
      <c r="I68" s="3" t="s">
        <v>28</v>
      </c>
      <c r="J68" s="3" t="s">
        <v>30</v>
      </c>
      <c r="K68" s="3" t="s">
        <v>28</v>
      </c>
      <c r="L68" s="3" t="s">
        <v>28</v>
      </c>
      <c r="M68" s="3" t="s">
        <v>28</v>
      </c>
      <c r="N68" s="3" t="s">
        <v>32</v>
      </c>
      <c r="O68" s="3" t="s">
        <v>31</v>
      </c>
      <c r="P68" s="3" t="s">
        <v>30</v>
      </c>
      <c r="Q68" s="3" t="s">
        <v>30</v>
      </c>
      <c r="R68" s="3" t="s">
        <v>32</v>
      </c>
      <c r="S68" s="3" t="s">
        <v>28</v>
      </c>
      <c r="T68" s="3" t="s">
        <v>31</v>
      </c>
      <c r="U68" s="3" t="s">
        <v>31</v>
      </c>
      <c r="V68" s="3" t="s">
        <v>29</v>
      </c>
      <c r="W68" s="3" t="s">
        <v>30</v>
      </c>
      <c r="X68" s="3" t="s">
        <v>31</v>
      </c>
      <c r="Y68" s="3" t="s">
        <v>32</v>
      </c>
      <c r="Z68" s="3" t="s">
        <v>29</v>
      </c>
      <c r="AA68" s="3" t="s">
        <v>32</v>
      </c>
    </row>
    <row r="69" ht="15.75" customHeight="1">
      <c r="A69" s="7">
        <v>30.0</v>
      </c>
      <c r="B69" s="2" t="s">
        <v>107</v>
      </c>
      <c r="C69" s="3" t="s">
        <v>166</v>
      </c>
      <c r="D69" s="8" t="s">
        <v>167</v>
      </c>
      <c r="E69" s="9"/>
      <c r="F69" s="5">
        <f t="shared" si="1"/>
        <v>0</v>
      </c>
      <c r="G69" s="8" t="s">
        <v>166</v>
      </c>
      <c r="H69" s="3" t="s">
        <v>28</v>
      </c>
      <c r="I69" s="3" t="s">
        <v>29</v>
      </c>
      <c r="J69" s="3" t="s">
        <v>31</v>
      </c>
      <c r="K69" s="3" t="s">
        <v>28</v>
      </c>
      <c r="L69" s="3" t="s">
        <v>32</v>
      </c>
      <c r="M69" s="3" t="s">
        <v>31</v>
      </c>
      <c r="N69" s="3" t="s">
        <v>29</v>
      </c>
      <c r="O69" s="3" t="s">
        <v>31</v>
      </c>
      <c r="P69" s="3" t="s">
        <v>30</v>
      </c>
      <c r="Q69" s="3" t="s">
        <v>28</v>
      </c>
      <c r="R69" s="3" t="s">
        <v>31</v>
      </c>
      <c r="S69" s="3" t="s">
        <v>28</v>
      </c>
      <c r="T69" s="3" t="s">
        <v>31</v>
      </c>
      <c r="U69" s="3" t="s">
        <v>31</v>
      </c>
      <c r="V69" s="3" t="s">
        <v>31</v>
      </c>
      <c r="W69" s="3" t="s">
        <v>29</v>
      </c>
      <c r="X69" s="3" t="s">
        <v>31</v>
      </c>
      <c r="Y69" s="3" t="s">
        <v>28</v>
      </c>
      <c r="Z69" s="3" t="s">
        <v>29</v>
      </c>
      <c r="AA69" s="3" t="s">
        <v>28</v>
      </c>
    </row>
    <row r="70" ht="15.75" customHeight="1">
      <c r="A70" s="7">
        <v>31.0</v>
      </c>
      <c r="B70" s="2" t="s">
        <v>107</v>
      </c>
      <c r="C70" s="3" t="s">
        <v>168</v>
      </c>
      <c r="D70" s="8" t="s">
        <v>169</v>
      </c>
      <c r="E70" s="9"/>
      <c r="F70" s="5">
        <f t="shared" si="1"/>
        <v>0</v>
      </c>
      <c r="G70" s="8" t="s">
        <v>168</v>
      </c>
      <c r="H70" s="3" t="s">
        <v>30</v>
      </c>
      <c r="I70" s="3" t="s">
        <v>28</v>
      </c>
      <c r="J70" s="3" t="s">
        <v>32</v>
      </c>
      <c r="K70" s="3" t="s">
        <v>28</v>
      </c>
      <c r="L70" s="3" t="s">
        <v>29</v>
      </c>
      <c r="M70" s="3" t="s">
        <v>28</v>
      </c>
      <c r="N70" s="3" t="s">
        <v>30</v>
      </c>
      <c r="O70" s="3" t="s">
        <v>31</v>
      </c>
      <c r="P70" s="3" t="s">
        <v>28</v>
      </c>
      <c r="Q70" s="3" t="s">
        <v>28</v>
      </c>
      <c r="R70" s="3" t="s">
        <v>32</v>
      </c>
      <c r="S70" s="3" t="s">
        <v>28</v>
      </c>
      <c r="T70" s="3" t="s">
        <v>31</v>
      </c>
      <c r="U70" s="3" t="s">
        <v>31</v>
      </c>
      <c r="V70" s="3" t="s">
        <v>30</v>
      </c>
      <c r="W70" s="3" t="s">
        <v>28</v>
      </c>
      <c r="X70" s="3" t="s">
        <v>31</v>
      </c>
      <c r="Y70" s="3" t="s">
        <v>28</v>
      </c>
      <c r="Z70" s="3" t="s">
        <v>31</v>
      </c>
      <c r="AA70" s="3" t="s">
        <v>32</v>
      </c>
    </row>
    <row r="71" ht="15.75" customHeight="1">
      <c r="A71" s="7">
        <v>32.0</v>
      </c>
      <c r="B71" s="2" t="s">
        <v>107</v>
      </c>
      <c r="C71" s="3" t="s">
        <v>170</v>
      </c>
      <c r="D71" s="8" t="s">
        <v>171</v>
      </c>
      <c r="E71" s="9"/>
      <c r="F71" s="5">
        <f t="shared" si="1"/>
        <v>0</v>
      </c>
      <c r="G71" s="8" t="s">
        <v>170</v>
      </c>
      <c r="H71" s="3" t="s">
        <v>28</v>
      </c>
      <c r="I71" s="3" t="s">
        <v>28</v>
      </c>
      <c r="J71" s="3" t="s">
        <v>32</v>
      </c>
      <c r="K71" s="3" t="s">
        <v>31</v>
      </c>
      <c r="L71" s="3" t="s">
        <v>32</v>
      </c>
      <c r="M71" s="3" t="s">
        <v>28</v>
      </c>
      <c r="N71" s="3" t="s">
        <v>29</v>
      </c>
      <c r="O71" s="3" t="s">
        <v>31</v>
      </c>
      <c r="P71" s="3" t="s">
        <v>28</v>
      </c>
      <c r="Q71" s="3" t="s">
        <v>29</v>
      </c>
      <c r="R71" s="3" t="s">
        <v>32</v>
      </c>
      <c r="S71" s="3" t="s">
        <v>28</v>
      </c>
      <c r="T71" s="3" t="s">
        <v>31</v>
      </c>
      <c r="U71" s="3" t="s">
        <v>31</v>
      </c>
      <c r="V71" s="3" t="s">
        <v>30</v>
      </c>
      <c r="W71" s="3" t="s">
        <v>30</v>
      </c>
      <c r="X71" s="3" t="s">
        <v>31</v>
      </c>
      <c r="Y71" s="3" t="s">
        <v>28</v>
      </c>
      <c r="Z71" s="3" t="s">
        <v>29</v>
      </c>
      <c r="AA71" s="3" t="s">
        <v>28</v>
      </c>
    </row>
    <row r="72" ht="15.75" customHeight="1">
      <c r="A72" s="7">
        <v>33.0</v>
      </c>
      <c r="B72" s="2" t="s">
        <v>107</v>
      </c>
      <c r="C72" s="3" t="s">
        <v>172</v>
      </c>
      <c r="D72" s="11" t="s">
        <v>173</v>
      </c>
      <c r="E72" s="9"/>
      <c r="F72" s="5">
        <f t="shared" si="1"/>
        <v>0</v>
      </c>
      <c r="G72" s="8" t="s">
        <v>172</v>
      </c>
      <c r="H72" s="3" t="s">
        <v>31</v>
      </c>
      <c r="I72" s="3" t="s">
        <v>30</v>
      </c>
      <c r="J72" s="3" t="s">
        <v>32</v>
      </c>
      <c r="K72" s="3" t="s">
        <v>28</v>
      </c>
      <c r="L72" s="3" t="s">
        <v>28</v>
      </c>
      <c r="M72" s="3" t="s">
        <v>29</v>
      </c>
      <c r="N72" s="3" t="s">
        <v>30</v>
      </c>
      <c r="O72" s="3" t="s">
        <v>31</v>
      </c>
      <c r="P72" s="3" t="s">
        <v>31</v>
      </c>
      <c r="Q72" s="3" t="s">
        <v>28</v>
      </c>
      <c r="R72" s="3" t="s">
        <v>30</v>
      </c>
      <c r="S72" s="3" t="s">
        <v>30</v>
      </c>
      <c r="T72" s="3" t="s">
        <v>31</v>
      </c>
      <c r="U72" s="3" t="s">
        <v>28</v>
      </c>
      <c r="V72" s="3"/>
      <c r="W72" s="3" t="s">
        <v>29</v>
      </c>
      <c r="X72" s="3" t="s">
        <v>30</v>
      </c>
      <c r="Y72" s="3" t="s">
        <v>31</v>
      </c>
      <c r="Z72" s="3" t="s">
        <v>28</v>
      </c>
      <c r="AA72" s="3" t="s">
        <v>31</v>
      </c>
    </row>
    <row r="73" ht="15.75" customHeight="1">
      <c r="A73" s="7">
        <v>34.0</v>
      </c>
      <c r="B73" s="2" t="s">
        <v>107</v>
      </c>
      <c r="C73" s="3" t="s">
        <v>174</v>
      </c>
      <c r="D73" s="8" t="s">
        <v>175</v>
      </c>
      <c r="E73" s="9"/>
      <c r="F73" s="5">
        <f t="shared" si="1"/>
        <v>0</v>
      </c>
      <c r="G73" s="8" t="s">
        <v>174</v>
      </c>
      <c r="H73" s="3" t="s">
        <v>28</v>
      </c>
      <c r="I73" s="3" t="s">
        <v>28</v>
      </c>
      <c r="J73" s="3" t="s">
        <v>30</v>
      </c>
      <c r="K73" s="3" t="s">
        <v>28</v>
      </c>
      <c r="L73" s="3" t="s">
        <v>30</v>
      </c>
      <c r="M73" s="3" t="s">
        <v>29</v>
      </c>
      <c r="N73" s="3" t="s">
        <v>31</v>
      </c>
      <c r="O73" s="3" t="s">
        <v>28</v>
      </c>
      <c r="P73" s="3" t="s">
        <v>28</v>
      </c>
      <c r="Q73" s="3" t="s">
        <v>29</v>
      </c>
      <c r="R73" s="3" t="s">
        <v>29</v>
      </c>
      <c r="S73" s="3" t="s">
        <v>28</v>
      </c>
      <c r="T73" s="3" t="s">
        <v>31</v>
      </c>
      <c r="U73" s="3" t="s">
        <v>28</v>
      </c>
      <c r="V73" s="3" t="s">
        <v>32</v>
      </c>
      <c r="W73" s="3" t="s">
        <v>28</v>
      </c>
      <c r="X73" s="3" t="s">
        <v>31</v>
      </c>
      <c r="Y73" s="3" t="s">
        <v>29</v>
      </c>
      <c r="Z73" s="3" t="s">
        <v>30</v>
      </c>
      <c r="AA73" s="3" t="s">
        <v>28</v>
      </c>
    </row>
    <row r="74" ht="15.75" customHeight="1">
      <c r="A74" s="7">
        <v>35.0</v>
      </c>
      <c r="B74" s="2" t="s">
        <v>107</v>
      </c>
      <c r="C74" s="3" t="s">
        <v>176</v>
      </c>
      <c r="D74" s="8" t="s">
        <v>177</v>
      </c>
      <c r="E74" s="9"/>
      <c r="F74" s="5">
        <f t="shared" si="1"/>
        <v>0</v>
      </c>
      <c r="G74" s="8" t="s">
        <v>176</v>
      </c>
      <c r="H74" s="3" t="s">
        <v>28</v>
      </c>
      <c r="I74" s="3" t="s">
        <v>28</v>
      </c>
      <c r="J74" s="3" t="s">
        <v>31</v>
      </c>
      <c r="K74" s="3" t="s">
        <v>28</v>
      </c>
      <c r="L74" s="3" t="s">
        <v>32</v>
      </c>
      <c r="M74" s="3" t="s">
        <v>28</v>
      </c>
      <c r="N74" s="3" t="s">
        <v>30</v>
      </c>
      <c r="O74" s="3" t="s">
        <v>31</v>
      </c>
      <c r="P74" s="3" t="s">
        <v>29</v>
      </c>
      <c r="Q74" s="3" t="s">
        <v>29</v>
      </c>
      <c r="R74" s="3" t="s">
        <v>32</v>
      </c>
      <c r="S74" s="3" t="s">
        <v>28</v>
      </c>
      <c r="T74" s="3" t="s">
        <v>31</v>
      </c>
      <c r="U74" s="3" t="s">
        <v>32</v>
      </c>
      <c r="V74" s="3" t="s">
        <v>31</v>
      </c>
      <c r="W74" s="3" t="s">
        <v>28</v>
      </c>
      <c r="X74" s="3" t="s">
        <v>31</v>
      </c>
      <c r="Y74" s="3" t="s">
        <v>28</v>
      </c>
      <c r="Z74" s="3" t="s">
        <v>31</v>
      </c>
      <c r="AA74" s="3" t="s">
        <v>28</v>
      </c>
    </row>
    <row r="75" ht="15.75" customHeight="1">
      <c r="A75" s="7">
        <v>36.0</v>
      </c>
      <c r="B75" s="2" t="s">
        <v>107</v>
      </c>
      <c r="C75" s="3" t="s">
        <v>178</v>
      </c>
      <c r="D75" s="8" t="s">
        <v>179</v>
      </c>
      <c r="E75" s="9"/>
      <c r="F75" s="5">
        <f t="shared" si="1"/>
        <v>0</v>
      </c>
      <c r="G75" s="8" t="s">
        <v>178</v>
      </c>
      <c r="H75" s="3" t="s">
        <v>32</v>
      </c>
      <c r="I75" s="3" t="s">
        <v>28</v>
      </c>
      <c r="J75" s="3"/>
      <c r="K75" s="3" t="s">
        <v>28</v>
      </c>
      <c r="L75" s="3" t="s">
        <v>32</v>
      </c>
      <c r="M75" s="3" t="s">
        <v>29</v>
      </c>
      <c r="N75" s="3" t="s">
        <v>32</v>
      </c>
      <c r="O75" s="3" t="s">
        <v>31</v>
      </c>
      <c r="P75" s="3" t="s">
        <v>28</v>
      </c>
      <c r="Q75" s="3" t="s">
        <v>30</v>
      </c>
      <c r="R75" s="3" t="s">
        <v>32</v>
      </c>
      <c r="S75" s="3" t="s">
        <v>28</v>
      </c>
      <c r="T75" s="3" t="s">
        <v>31</v>
      </c>
      <c r="U75" s="3" t="s">
        <v>28</v>
      </c>
      <c r="V75" s="3" t="s">
        <v>31</v>
      </c>
      <c r="W75" s="3" t="s">
        <v>30</v>
      </c>
      <c r="X75" s="3" t="s">
        <v>31</v>
      </c>
      <c r="Y75" s="3" t="s">
        <v>30</v>
      </c>
      <c r="Z75" s="3" t="s">
        <v>31</v>
      </c>
      <c r="AA75" s="3" t="s">
        <v>30</v>
      </c>
    </row>
    <row r="76" ht="15.75" customHeight="1">
      <c r="A76" s="7">
        <v>37.0</v>
      </c>
      <c r="B76" s="2" t="s">
        <v>107</v>
      </c>
      <c r="C76" s="3" t="s">
        <v>180</v>
      </c>
      <c r="D76" s="8" t="s">
        <v>181</v>
      </c>
      <c r="E76" s="9"/>
      <c r="F76" s="5">
        <f t="shared" si="1"/>
        <v>0</v>
      </c>
      <c r="G76" s="8" t="s">
        <v>180</v>
      </c>
      <c r="H76" s="3" t="s">
        <v>30</v>
      </c>
      <c r="I76" s="3" t="s">
        <v>28</v>
      </c>
      <c r="J76" s="3" t="s">
        <v>29</v>
      </c>
      <c r="K76" s="3" t="s">
        <v>28</v>
      </c>
      <c r="L76" s="3" t="s">
        <v>30</v>
      </c>
      <c r="M76" s="3" t="s">
        <v>28</v>
      </c>
      <c r="N76" s="3" t="s">
        <v>28</v>
      </c>
      <c r="O76" s="3" t="s">
        <v>30</v>
      </c>
      <c r="P76" s="2"/>
      <c r="Q76" s="3" t="s">
        <v>30</v>
      </c>
      <c r="R76" s="3" t="s">
        <v>32</v>
      </c>
      <c r="S76" s="3" t="s">
        <v>28</v>
      </c>
      <c r="T76" s="3" t="s">
        <v>31</v>
      </c>
      <c r="U76" s="3" t="s">
        <v>31</v>
      </c>
      <c r="V76" s="3" t="s">
        <v>31</v>
      </c>
      <c r="W76" s="3" t="s">
        <v>29</v>
      </c>
      <c r="X76" s="3" t="s">
        <v>29</v>
      </c>
      <c r="Y76" s="3" t="s">
        <v>32</v>
      </c>
      <c r="Z76" s="3" t="s">
        <v>29</v>
      </c>
      <c r="AA76" s="3" t="s">
        <v>30</v>
      </c>
    </row>
    <row r="77" ht="15.75" customHeight="1">
      <c r="A77" s="12">
        <v>38.0</v>
      </c>
      <c r="B77" s="13" t="s">
        <v>107</v>
      </c>
      <c r="C77" s="14" t="s">
        <v>182</v>
      </c>
      <c r="D77" s="18" t="s">
        <v>183</v>
      </c>
      <c r="E77" s="16"/>
      <c r="F77" s="17">
        <f t="shared" si="1"/>
        <v>0</v>
      </c>
      <c r="G77" s="15" t="s">
        <v>182</v>
      </c>
      <c r="H77" s="14" t="s">
        <v>28</v>
      </c>
      <c r="I77" s="14" t="s">
        <v>32</v>
      </c>
      <c r="J77" s="14" t="s">
        <v>31</v>
      </c>
      <c r="K77" s="14" t="s">
        <v>29</v>
      </c>
      <c r="L77" s="14" t="s">
        <v>32</v>
      </c>
      <c r="M77" s="14" t="s">
        <v>28</v>
      </c>
      <c r="N77" s="14" t="s">
        <v>31</v>
      </c>
      <c r="O77" s="14" t="s">
        <v>30</v>
      </c>
      <c r="P77" s="14" t="s">
        <v>32</v>
      </c>
      <c r="Q77" s="14" t="s">
        <v>28</v>
      </c>
      <c r="R77" s="14" t="s">
        <v>28</v>
      </c>
      <c r="S77" s="14" t="s">
        <v>28</v>
      </c>
      <c r="T77" s="14" t="s">
        <v>31</v>
      </c>
      <c r="U77" s="14" t="s">
        <v>28</v>
      </c>
      <c r="V77" s="14"/>
      <c r="W77" s="14" t="s">
        <v>31</v>
      </c>
      <c r="X77" s="14" t="s">
        <v>31</v>
      </c>
      <c r="Y77" s="14" t="s">
        <v>28</v>
      </c>
      <c r="Z77" s="14" t="s">
        <v>32</v>
      </c>
      <c r="AA77" s="14" t="s">
        <v>32</v>
      </c>
    </row>
    <row r="78" ht="15.75" customHeight="1">
      <c r="A78" s="7">
        <v>1.0</v>
      </c>
      <c r="B78" s="2" t="s">
        <v>184</v>
      </c>
      <c r="C78" s="3" t="s">
        <v>185</v>
      </c>
      <c r="D78" s="11" t="s">
        <v>186</v>
      </c>
      <c r="E78" s="9"/>
      <c r="F78" s="5">
        <f t="shared" si="1"/>
        <v>0</v>
      </c>
      <c r="G78" s="8" t="s">
        <v>185</v>
      </c>
      <c r="H78" s="3" t="s">
        <v>28</v>
      </c>
      <c r="I78" s="3" t="s">
        <v>29</v>
      </c>
      <c r="J78" s="3" t="s">
        <v>31</v>
      </c>
      <c r="K78" s="3" t="s">
        <v>31</v>
      </c>
      <c r="L78" s="3" t="s">
        <v>30</v>
      </c>
      <c r="M78" s="3" t="s">
        <v>28</v>
      </c>
      <c r="N78" s="3" t="s">
        <v>31</v>
      </c>
      <c r="O78" s="3" t="s">
        <v>31</v>
      </c>
      <c r="P78" s="3" t="s">
        <v>32</v>
      </c>
      <c r="Q78" s="3" t="s">
        <v>29</v>
      </c>
      <c r="R78" s="3" t="s">
        <v>28</v>
      </c>
      <c r="S78" s="3" t="s">
        <v>28</v>
      </c>
      <c r="T78" s="3" t="s">
        <v>30</v>
      </c>
      <c r="U78" s="3" t="s">
        <v>28</v>
      </c>
      <c r="V78" s="3" t="s">
        <v>30</v>
      </c>
      <c r="W78" s="3" t="s">
        <v>32</v>
      </c>
      <c r="X78" s="3" t="s">
        <v>28</v>
      </c>
      <c r="Y78" s="3" t="s">
        <v>28</v>
      </c>
      <c r="Z78" s="3" t="s">
        <v>31</v>
      </c>
      <c r="AA78" s="3" t="s">
        <v>32</v>
      </c>
    </row>
    <row r="79" ht="15.75" customHeight="1">
      <c r="A79" s="7">
        <v>2.0</v>
      </c>
      <c r="B79" s="2" t="s">
        <v>184</v>
      </c>
      <c r="C79" s="3" t="s">
        <v>187</v>
      </c>
      <c r="D79" s="8" t="s">
        <v>188</v>
      </c>
      <c r="E79" s="9"/>
      <c r="F79" s="5">
        <f t="shared" si="1"/>
        <v>0</v>
      </c>
      <c r="G79" s="8" t="s">
        <v>187</v>
      </c>
      <c r="H79" s="3" t="s">
        <v>29</v>
      </c>
      <c r="I79" s="3" t="s">
        <v>28</v>
      </c>
      <c r="J79" s="3" t="s">
        <v>29</v>
      </c>
      <c r="K79" s="3" t="s">
        <v>28</v>
      </c>
      <c r="L79" s="3" t="s">
        <v>28</v>
      </c>
      <c r="M79" s="3" t="s">
        <v>29</v>
      </c>
      <c r="N79" s="3" t="s">
        <v>32</v>
      </c>
      <c r="O79" s="3" t="s">
        <v>28</v>
      </c>
      <c r="P79" s="3" t="s">
        <v>31</v>
      </c>
      <c r="Q79" s="3" t="s">
        <v>30</v>
      </c>
      <c r="R79" s="3" t="s">
        <v>31</v>
      </c>
      <c r="S79" s="3" t="s">
        <v>28</v>
      </c>
      <c r="T79" s="3" t="s">
        <v>31</v>
      </c>
      <c r="U79" s="3" t="s">
        <v>31</v>
      </c>
      <c r="V79" s="3" t="s">
        <v>31</v>
      </c>
      <c r="W79" s="3" t="s">
        <v>32</v>
      </c>
      <c r="X79" s="3" t="s">
        <v>31</v>
      </c>
      <c r="Y79" s="3" t="s">
        <v>31</v>
      </c>
      <c r="Z79" s="3" t="s">
        <v>31</v>
      </c>
      <c r="AA79" s="3" t="s">
        <v>32</v>
      </c>
    </row>
    <row r="80" ht="15.75" customHeight="1">
      <c r="A80" s="7">
        <v>3.0</v>
      </c>
      <c r="B80" s="2" t="s">
        <v>184</v>
      </c>
      <c r="C80" s="3" t="s">
        <v>189</v>
      </c>
      <c r="D80" s="8" t="s">
        <v>190</v>
      </c>
      <c r="E80" s="9"/>
      <c r="F80" s="5">
        <f t="shared" si="1"/>
        <v>0</v>
      </c>
      <c r="G80" s="8" t="s">
        <v>189</v>
      </c>
      <c r="H80" s="3" t="s">
        <v>30</v>
      </c>
      <c r="I80" s="3" t="s">
        <v>28</v>
      </c>
      <c r="J80" s="3" t="s">
        <v>32</v>
      </c>
      <c r="K80" s="3" t="s">
        <v>28</v>
      </c>
      <c r="L80" s="3" t="s">
        <v>32</v>
      </c>
      <c r="M80" s="3" t="s">
        <v>30</v>
      </c>
      <c r="N80" s="3" t="s">
        <v>28</v>
      </c>
      <c r="O80" s="3" t="s">
        <v>31</v>
      </c>
      <c r="P80" s="3" t="s">
        <v>29</v>
      </c>
      <c r="Q80" s="3" t="s">
        <v>30</v>
      </c>
      <c r="R80" s="3" t="s">
        <v>32</v>
      </c>
      <c r="S80" s="3" t="s">
        <v>28</v>
      </c>
      <c r="T80" s="3" t="s">
        <v>31</v>
      </c>
      <c r="U80" s="3" t="s">
        <v>30</v>
      </c>
      <c r="V80" s="3" t="s">
        <v>30</v>
      </c>
      <c r="W80" s="3" t="s">
        <v>32</v>
      </c>
      <c r="X80" s="3" t="s">
        <v>31</v>
      </c>
      <c r="Y80" s="3" t="s">
        <v>32</v>
      </c>
      <c r="Z80" s="3" t="s">
        <v>31</v>
      </c>
      <c r="AA80" s="3" t="s">
        <v>30</v>
      </c>
    </row>
    <row r="81" ht="15.75" customHeight="1">
      <c r="A81" s="7">
        <v>4.0</v>
      </c>
      <c r="B81" s="2" t="s">
        <v>184</v>
      </c>
      <c r="C81" s="3" t="s">
        <v>191</v>
      </c>
      <c r="D81" s="8" t="s">
        <v>192</v>
      </c>
      <c r="E81" s="9"/>
      <c r="F81" s="5">
        <f t="shared" si="1"/>
        <v>0</v>
      </c>
      <c r="G81" s="8" t="s">
        <v>191</v>
      </c>
      <c r="H81" s="3" t="s">
        <v>28</v>
      </c>
      <c r="I81" s="3" t="s">
        <v>28</v>
      </c>
      <c r="J81" s="3" t="s">
        <v>29</v>
      </c>
      <c r="K81" s="3" t="s">
        <v>28</v>
      </c>
      <c r="L81" s="3" t="s">
        <v>28</v>
      </c>
      <c r="M81" s="3" t="s">
        <v>32</v>
      </c>
      <c r="N81" s="3" t="s">
        <v>31</v>
      </c>
      <c r="O81" s="3" t="s">
        <v>31</v>
      </c>
      <c r="P81" s="3" t="s">
        <v>30</v>
      </c>
      <c r="Q81" s="3" t="s">
        <v>29</v>
      </c>
      <c r="R81" s="3" t="s">
        <v>32</v>
      </c>
      <c r="S81" s="3" t="s">
        <v>28</v>
      </c>
      <c r="T81" s="3" t="s">
        <v>31</v>
      </c>
      <c r="U81" s="3" t="s">
        <v>30</v>
      </c>
      <c r="V81" s="3" t="s">
        <v>30</v>
      </c>
      <c r="W81" s="3" t="s">
        <v>31</v>
      </c>
      <c r="X81" s="3" t="s">
        <v>31</v>
      </c>
      <c r="Y81" s="3" t="s">
        <v>30</v>
      </c>
      <c r="Z81" s="3" t="s">
        <v>29</v>
      </c>
      <c r="AA81" s="3" t="s">
        <v>32</v>
      </c>
    </row>
    <row r="82" ht="15.75" customHeight="1">
      <c r="A82" s="7">
        <v>5.0</v>
      </c>
      <c r="B82" s="2" t="s">
        <v>184</v>
      </c>
      <c r="C82" s="3" t="s">
        <v>193</v>
      </c>
      <c r="D82" s="8" t="s">
        <v>194</v>
      </c>
      <c r="E82" s="9"/>
      <c r="F82" s="5">
        <f t="shared" si="1"/>
        <v>0</v>
      </c>
      <c r="G82" s="8" t="s">
        <v>193</v>
      </c>
      <c r="H82" s="3" t="s">
        <v>30</v>
      </c>
      <c r="I82" s="3" t="s">
        <v>28</v>
      </c>
      <c r="J82" s="3" t="s">
        <v>28</v>
      </c>
      <c r="K82" s="3" t="s">
        <v>28</v>
      </c>
      <c r="L82" s="3" t="s">
        <v>29</v>
      </c>
      <c r="M82" s="3" t="s">
        <v>30</v>
      </c>
      <c r="N82" s="3" t="s">
        <v>29</v>
      </c>
      <c r="O82" s="3" t="s">
        <v>31</v>
      </c>
      <c r="P82" s="3" t="s">
        <v>28</v>
      </c>
      <c r="Q82" s="3" t="s">
        <v>29</v>
      </c>
      <c r="R82" s="3" t="s">
        <v>32</v>
      </c>
      <c r="S82" s="3" t="s">
        <v>28</v>
      </c>
      <c r="T82" s="3" t="s">
        <v>31</v>
      </c>
      <c r="U82" s="3" t="s">
        <v>30</v>
      </c>
      <c r="V82" s="3" t="s">
        <v>31</v>
      </c>
      <c r="W82" s="3" t="s">
        <v>29</v>
      </c>
      <c r="X82" s="3" t="s">
        <v>31</v>
      </c>
      <c r="Y82" s="3" t="s">
        <v>29</v>
      </c>
      <c r="Z82" s="3" t="s">
        <v>32</v>
      </c>
      <c r="AA82" s="3" t="s">
        <v>29</v>
      </c>
    </row>
    <row r="83" ht="15.75" customHeight="1">
      <c r="A83" s="7">
        <v>6.0</v>
      </c>
      <c r="B83" s="2" t="s">
        <v>184</v>
      </c>
      <c r="C83" s="3" t="s">
        <v>195</v>
      </c>
      <c r="D83" s="8" t="s">
        <v>196</v>
      </c>
      <c r="E83" s="9"/>
      <c r="F83" s="5">
        <f t="shared" si="1"/>
        <v>0</v>
      </c>
      <c r="G83" s="8" t="s">
        <v>195</v>
      </c>
      <c r="H83" s="3" t="s">
        <v>28</v>
      </c>
      <c r="I83" s="3" t="s">
        <v>28</v>
      </c>
      <c r="J83" s="3" t="s">
        <v>29</v>
      </c>
      <c r="K83" s="3" t="s">
        <v>28</v>
      </c>
      <c r="L83" s="3" t="s">
        <v>29</v>
      </c>
      <c r="M83" s="3" t="s">
        <v>31</v>
      </c>
      <c r="N83" s="3" t="s">
        <v>31</v>
      </c>
      <c r="O83" s="3" t="s">
        <v>31</v>
      </c>
      <c r="P83" s="3" t="s">
        <v>30</v>
      </c>
      <c r="Q83" s="3" t="s">
        <v>30</v>
      </c>
      <c r="R83" s="3" t="s">
        <v>32</v>
      </c>
      <c r="S83" s="3" t="s">
        <v>28</v>
      </c>
      <c r="T83" s="3" t="s">
        <v>31</v>
      </c>
      <c r="U83" s="3" t="s">
        <v>31</v>
      </c>
      <c r="V83" s="3" t="s">
        <v>30</v>
      </c>
      <c r="W83" s="3" t="s">
        <v>30</v>
      </c>
      <c r="X83" s="3" t="s">
        <v>31</v>
      </c>
      <c r="Y83" s="3" t="s">
        <v>28</v>
      </c>
      <c r="Z83" s="3" t="s">
        <v>31</v>
      </c>
      <c r="AA83" s="3" t="s">
        <v>30</v>
      </c>
    </row>
    <row r="84" ht="15.75" customHeight="1">
      <c r="A84" s="7">
        <v>7.0</v>
      </c>
      <c r="B84" s="2" t="s">
        <v>184</v>
      </c>
      <c r="C84" s="3" t="s">
        <v>197</v>
      </c>
      <c r="D84" s="8" t="s">
        <v>198</v>
      </c>
      <c r="E84" s="9"/>
      <c r="F84" s="5">
        <f t="shared" si="1"/>
        <v>0</v>
      </c>
      <c r="G84" s="8" t="s">
        <v>197</v>
      </c>
      <c r="H84" s="3" t="s">
        <v>31</v>
      </c>
      <c r="I84" s="3" t="s">
        <v>28</v>
      </c>
      <c r="J84" s="3" t="s">
        <v>30</v>
      </c>
      <c r="K84" s="3" t="s">
        <v>28</v>
      </c>
      <c r="L84" s="3" t="s">
        <v>32</v>
      </c>
      <c r="M84" s="3" t="s">
        <v>30</v>
      </c>
      <c r="N84" s="3" t="s">
        <v>31</v>
      </c>
      <c r="O84" s="3" t="s">
        <v>31</v>
      </c>
      <c r="P84" s="3" t="s">
        <v>30</v>
      </c>
      <c r="Q84" s="3" t="s">
        <v>32</v>
      </c>
      <c r="R84" s="3" t="s">
        <v>32</v>
      </c>
      <c r="S84" s="3" t="s">
        <v>28</v>
      </c>
      <c r="T84" s="3" t="s">
        <v>31</v>
      </c>
      <c r="U84" s="3" t="s">
        <v>30</v>
      </c>
      <c r="V84" s="3" t="s">
        <v>30</v>
      </c>
      <c r="W84" s="3" t="s">
        <v>29</v>
      </c>
      <c r="X84" s="3" t="s">
        <v>28</v>
      </c>
      <c r="Y84" s="3" t="s">
        <v>28</v>
      </c>
      <c r="Z84" s="3" t="s">
        <v>32</v>
      </c>
      <c r="AA84" s="3" t="s">
        <v>30</v>
      </c>
    </row>
    <row r="85" ht="15.75" customHeight="1">
      <c r="A85" s="7">
        <v>8.0</v>
      </c>
      <c r="B85" s="2" t="s">
        <v>184</v>
      </c>
      <c r="C85" s="3" t="s">
        <v>199</v>
      </c>
      <c r="D85" s="8" t="s">
        <v>200</v>
      </c>
      <c r="E85" s="9"/>
      <c r="F85" s="5">
        <f t="shared" si="1"/>
        <v>0</v>
      </c>
      <c r="G85" s="8" t="s">
        <v>199</v>
      </c>
      <c r="H85" s="3" t="s">
        <v>28</v>
      </c>
      <c r="I85" s="3" t="s">
        <v>28</v>
      </c>
      <c r="J85" s="3" t="s">
        <v>32</v>
      </c>
      <c r="K85" s="3" t="s">
        <v>28</v>
      </c>
      <c r="L85" s="3" t="s">
        <v>32</v>
      </c>
      <c r="M85" s="3" t="s">
        <v>30</v>
      </c>
      <c r="N85" s="3" t="s">
        <v>30</v>
      </c>
      <c r="O85" s="3" t="s">
        <v>31</v>
      </c>
      <c r="P85" s="3" t="s">
        <v>28</v>
      </c>
      <c r="Q85" s="3" t="s">
        <v>30</v>
      </c>
      <c r="R85" s="3" t="s">
        <v>32</v>
      </c>
      <c r="S85" s="3" t="s">
        <v>28</v>
      </c>
      <c r="T85" s="3" t="s">
        <v>31</v>
      </c>
      <c r="U85" s="3" t="s">
        <v>31</v>
      </c>
      <c r="V85" s="3" t="s">
        <v>31</v>
      </c>
      <c r="W85" s="3" t="s">
        <v>32</v>
      </c>
      <c r="X85" s="3" t="s">
        <v>31</v>
      </c>
      <c r="Y85" s="3" t="s">
        <v>28</v>
      </c>
      <c r="Z85" s="3" t="s">
        <v>28</v>
      </c>
      <c r="AA85" s="3" t="s">
        <v>32</v>
      </c>
    </row>
    <row r="86" ht="15.75" customHeight="1">
      <c r="A86" s="7">
        <v>9.0</v>
      </c>
      <c r="B86" s="2" t="s">
        <v>184</v>
      </c>
      <c r="C86" s="3" t="s">
        <v>201</v>
      </c>
      <c r="D86" s="8" t="s">
        <v>202</v>
      </c>
      <c r="E86" s="9"/>
      <c r="F86" s="5">
        <f t="shared" si="1"/>
        <v>0</v>
      </c>
      <c r="G86" s="8" t="s">
        <v>201</v>
      </c>
      <c r="H86" s="3" t="s">
        <v>29</v>
      </c>
      <c r="I86" s="3" t="s">
        <v>29</v>
      </c>
      <c r="J86" s="3" t="s">
        <v>31</v>
      </c>
      <c r="K86" s="3" t="s">
        <v>28</v>
      </c>
      <c r="L86" s="3" t="s">
        <v>32</v>
      </c>
      <c r="M86" s="3" t="s">
        <v>28</v>
      </c>
      <c r="N86" s="3" t="s">
        <v>31</v>
      </c>
      <c r="O86" s="3" t="s">
        <v>30</v>
      </c>
      <c r="P86" s="3" t="s">
        <v>28</v>
      </c>
      <c r="Q86" s="3" t="s">
        <v>28</v>
      </c>
      <c r="R86" s="3" t="s">
        <v>32</v>
      </c>
      <c r="S86" s="3" t="s">
        <v>28</v>
      </c>
      <c r="T86" s="3" t="s">
        <v>30</v>
      </c>
      <c r="U86" s="3" t="s">
        <v>29</v>
      </c>
      <c r="V86" s="3" t="s">
        <v>29</v>
      </c>
      <c r="W86" s="3" t="s">
        <v>28</v>
      </c>
      <c r="X86" s="3" t="s">
        <v>31</v>
      </c>
      <c r="Y86" s="3" t="s">
        <v>28</v>
      </c>
      <c r="Z86" s="3" t="s">
        <v>31</v>
      </c>
      <c r="AA86" s="3" t="s">
        <v>28</v>
      </c>
    </row>
    <row r="87" ht="15.75" customHeight="1">
      <c r="A87" s="7">
        <v>10.0</v>
      </c>
      <c r="B87" s="2" t="s">
        <v>184</v>
      </c>
      <c r="C87" s="3" t="s">
        <v>203</v>
      </c>
      <c r="D87" s="8" t="s">
        <v>204</v>
      </c>
      <c r="E87" s="9"/>
      <c r="F87" s="5">
        <f t="shared" si="1"/>
        <v>0</v>
      </c>
      <c r="G87" s="8" t="s">
        <v>203</v>
      </c>
      <c r="H87" s="3" t="s">
        <v>31</v>
      </c>
      <c r="I87" s="3" t="s">
        <v>28</v>
      </c>
      <c r="J87" s="3" t="s">
        <v>29</v>
      </c>
      <c r="K87" s="3" t="s">
        <v>28</v>
      </c>
      <c r="L87" s="3" t="s">
        <v>30</v>
      </c>
      <c r="M87" s="3" t="s">
        <v>29</v>
      </c>
      <c r="N87" s="3" t="s">
        <v>32</v>
      </c>
      <c r="O87" s="3" t="s">
        <v>30</v>
      </c>
      <c r="P87" s="3" t="s">
        <v>30</v>
      </c>
      <c r="Q87" s="3" t="s">
        <v>30</v>
      </c>
      <c r="R87" s="3" t="s">
        <v>28</v>
      </c>
      <c r="S87" s="3" t="s">
        <v>28</v>
      </c>
      <c r="T87" s="3" t="s">
        <v>31</v>
      </c>
      <c r="U87" s="3" t="s">
        <v>29</v>
      </c>
      <c r="V87" s="3" t="s">
        <v>31</v>
      </c>
      <c r="W87" s="3" t="s">
        <v>30</v>
      </c>
      <c r="X87" s="3" t="s">
        <v>30</v>
      </c>
      <c r="Y87" s="3" t="s">
        <v>28</v>
      </c>
      <c r="Z87" s="3" t="s">
        <v>28</v>
      </c>
      <c r="AA87" s="3" t="s">
        <v>29</v>
      </c>
    </row>
    <row r="88" ht="15.75" customHeight="1">
      <c r="A88" s="7">
        <v>11.0</v>
      </c>
      <c r="B88" s="2" t="s">
        <v>184</v>
      </c>
      <c r="C88" s="3" t="s">
        <v>205</v>
      </c>
      <c r="D88" s="11" t="s">
        <v>206</v>
      </c>
      <c r="E88" s="9"/>
      <c r="F88" s="5">
        <f t="shared" si="1"/>
        <v>0</v>
      </c>
      <c r="G88" s="8" t="s">
        <v>205</v>
      </c>
      <c r="H88" s="3"/>
      <c r="I88" s="3" t="s">
        <v>28</v>
      </c>
      <c r="J88" s="3" t="s">
        <v>29</v>
      </c>
      <c r="K88" s="3" t="s">
        <v>28</v>
      </c>
      <c r="L88" s="3" t="s">
        <v>29</v>
      </c>
      <c r="M88" s="3" t="s">
        <v>29</v>
      </c>
      <c r="N88" s="3" t="s">
        <v>30</v>
      </c>
      <c r="O88" s="3" t="s">
        <v>31</v>
      </c>
      <c r="P88" s="3" t="s">
        <v>28</v>
      </c>
      <c r="Q88" s="3"/>
      <c r="R88" s="3" t="s">
        <v>32</v>
      </c>
      <c r="S88" s="3" t="s">
        <v>28</v>
      </c>
      <c r="T88" s="3" t="s">
        <v>31</v>
      </c>
      <c r="U88" s="3" t="s">
        <v>31</v>
      </c>
      <c r="V88" s="3" t="s">
        <v>30</v>
      </c>
      <c r="W88" s="3" t="s">
        <v>30</v>
      </c>
      <c r="X88" s="3" t="s">
        <v>31</v>
      </c>
      <c r="Y88" s="3" t="s">
        <v>28</v>
      </c>
      <c r="Z88" s="3" t="s">
        <v>29</v>
      </c>
      <c r="AA88" s="3" t="s">
        <v>30</v>
      </c>
    </row>
    <row r="89" ht="15.75" customHeight="1">
      <c r="A89" s="7">
        <v>12.0</v>
      </c>
      <c r="B89" s="2" t="s">
        <v>184</v>
      </c>
      <c r="C89" s="3" t="s">
        <v>207</v>
      </c>
      <c r="D89" s="8" t="s">
        <v>208</v>
      </c>
      <c r="E89" s="9"/>
      <c r="F89" s="5">
        <f t="shared" si="1"/>
        <v>0</v>
      </c>
      <c r="G89" s="8" t="s">
        <v>207</v>
      </c>
      <c r="H89" s="3" t="s">
        <v>30</v>
      </c>
      <c r="I89" s="3" t="s">
        <v>31</v>
      </c>
      <c r="J89" s="3" t="s">
        <v>28</v>
      </c>
      <c r="K89" s="3" t="s">
        <v>28</v>
      </c>
      <c r="L89" s="3" t="s">
        <v>32</v>
      </c>
      <c r="M89" s="3" t="s">
        <v>31</v>
      </c>
      <c r="N89" s="3" t="s">
        <v>31</v>
      </c>
      <c r="O89" s="3" t="s">
        <v>30</v>
      </c>
      <c r="P89" s="3" t="s">
        <v>31</v>
      </c>
      <c r="Q89" s="3" t="s">
        <v>28</v>
      </c>
      <c r="R89" s="3" t="s">
        <v>29</v>
      </c>
      <c r="S89" s="3" t="s">
        <v>28</v>
      </c>
      <c r="T89" s="3" t="s">
        <v>30</v>
      </c>
      <c r="U89" s="3" t="s">
        <v>29</v>
      </c>
      <c r="V89" s="3" t="s">
        <v>31</v>
      </c>
      <c r="W89" s="3" t="s">
        <v>30</v>
      </c>
      <c r="X89" s="3" t="s">
        <v>31</v>
      </c>
      <c r="Y89" s="3" t="s">
        <v>31</v>
      </c>
      <c r="Z89" s="3" t="s">
        <v>29</v>
      </c>
      <c r="AA89" s="3" t="s">
        <v>28</v>
      </c>
    </row>
    <row r="90" ht="15.75" customHeight="1">
      <c r="A90" s="7">
        <v>13.0</v>
      </c>
      <c r="B90" s="2" t="s">
        <v>184</v>
      </c>
      <c r="C90" s="3" t="s">
        <v>209</v>
      </c>
      <c r="D90" s="10" t="s">
        <v>210</v>
      </c>
      <c r="E90" s="9"/>
      <c r="F90" s="5">
        <f t="shared" si="1"/>
        <v>0</v>
      </c>
      <c r="G90" s="8" t="s">
        <v>209</v>
      </c>
      <c r="H90" s="3" t="s">
        <v>32</v>
      </c>
      <c r="I90" s="3" t="s">
        <v>30</v>
      </c>
      <c r="J90" s="3" t="s">
        <v>32</v>
      </c>
      <c r="K90" s="3" t="s">
        <v>31</v>
      </c>
      <c r="L90" s="3" t="s">
        <v>32</v>
      </c>
      <c r="M90" s="3" t="s">
        <v>29</v>
      </c>
      <c r="N90" s="3" t="s">
        <v>30</v>
      </c>
      <c r="O90" s="3" t="s">
        <v>30</v>
      </c>
      <c r="P90" s="3" t="s">
        <v>31</v>
      </c>
      <c r="Q90" s="3" t="s">
        <v>29</v>
      </c>
      <c r="R90" s="3" t="s">
        <v>29</v>
      </c>
      <c r="S90" s="3" t="s">
        <v>29</v>
      </c>
      <c r="T90" s="3" t="s">
        <v>31</v>
      </c>
      <c r="U90" s="3" t="s">
        <v>30</v>
      </c>
      <c r="V90" s="3" t="s">
        <v>31</v>
      </c>
      <c r="W90" s="3" t="s">
        <v>28</v>
      </c>
      <c r="X90" s="3" t="s">
        <v>31</v>
      </c>
      <c r="Y90" s="3" t="s">
        <v>31</v>
      </c>
      <c r="Z90" s="3" t="s">
        <v>29</v>
      </c>
      <c r="AA90" s="3" t="s">
        <v>28</v>
      </c>
    </row>
    <row r="91" ht="15.75" customHeight="1">
      <c r="A91" s="7">
        <v>14.0</v>
      </c>
      <c r="B91" s="2" t="s">
        <v>184</v>
      </c>
      <c r="C91" s="3" t="s">
        <v>211</v>
      </c>
      <c r="D91" s="8" t="s">
        <v>212</v>
      </c>
      <c r="E91" s="9"/>
      <c r="F91" s="5">
        <f t="shared" si="1"/>
        <v>0</v>
      </c>
      <c r="G91" s="8" t="s">
        <v>211</v>
      </c>
      <c r="H91" s="3" t="s">
        <v>31</v>
      </c>
      <c r="I91" s="3" t="s">
        <v>28</v>
      </c>
      <c r="J91" s="3" t="s">
        <v>28</v>
      </c>
      <c r="K91" s="3" t="s">
        <v>28</v>
      </c>
      <c r="L91" s="3" t="s">
        <v>30</v>
      </c>
      <c r="M91" s="3" t="s">
        <v>29</v>
      </c>
      <c r="N91" s="3" t="s">
        <v>32</v>
      </c>
      <c r="O91" s="3" t="s">
        <v>31</v>
      </c>
      <c r="P91" s="3" t="s">
        <v>30</v>
      </c>
      <c r="Q91" s="3" t="s">
        <v>30</v>
      </c>
      <c r="R91" s="3" t="s">
        <v>31</v>
      </c>
      <c r="S91" s="3" t="s">
        <v>28</v>
      </c>
      <c r="T91" s="3" t="s">
        <v>31</v>
      </c>
      <c r="U91" s="3" t="s">
        <v>31</v>
      </c>
      <c r="V91" s="3" t="s">
        <v>30</v>
      </c>
      <c r="W91" s="3" t="s">
        <v>32</v>
      </c>
      <c r="X91" s="3" t="s">
        <v>31</v>
      </c>
      <c r="Y91" s="3" t="s">
        <v>28</v>
      </c>
      <c r="Z91" s="3" t="s">
        <v>31</v>
      </c>
      <c r="AA91" s="3" t="s">
        <v>28</v>
      </c>
    </row>
    <row r="92" ht="15.75" customHeight="1">
      <c r="A92" s="7">
        <v>15.0</v>
      </c>
      <c r="B92" s="2" t="s">
        <v>184</v>
      </c>
      <c r="C92" s="3" t="s">
        <v>213</v>
      </c>
      <c r="D92" s="8" t="s">
        <v>214</v>
      </c>
      <c r="E92" s="9"/>
      <c r="F92" s="5">
        <f t="shared" si="1"/>
        <v>0</v>
      </c>
      <c r="G92" s="8" t="s">
        <v>213</v>
      </c>
      <c r="H92" s="3" t="s">
        <v>31</v>
      </c>
      <c r="I92" s="3" t="s">
        <v>28</v>
      </c>
      <c r="J92" s="3"/>
      <c r="K92" s="3" t="s">
        <v>30</v>
      </c>
      <c r="L92" s="3" t="s">
        <v>28</v>
      </c>
      <c r="M92" s="3" t="s">
        <v>28</v>
      </c>
      <c r="N92" s="3" t="s">
        <v>29</v>
      </c>
      <c r="O92" s="3" t="s">
        <v>28</v>
      </c>
      <c r="P92" s="3" t="s">
        <v>28</v>
      </c>
      <c r="Q92" s="3" t="s">
        <v>28</v>
      </c>
      <c r="R92" s="3" t="s">
        <v>32</v>
      </c>
      <c r="S92" s="3" t="s">
        <v>28</v>
      </c>
      <c r="T92" s="3" t="s">
        <v>31</v>
      </c>
      <c r="U92" s="3" t="s">
        <v>31</v>
      </c>
      <c r="V92" s="3" t="s">
        <v>29</v>
      </c>
      <c r="W92" s="3" t="s">
        <v>32</v>
      </c>
      <c r="X92" s="3" t="s">
        <v>31</v>
      </c>
      <c r="Y92" s="3" t="s">
        <v>29</v>
      </c>
      <c r="Z92" s="3" t="s">
        <v>31</v>
      </c>
      <c r="AA92" s="3" t="s">
        <v>28</v>
      </c>
    </row>
    <row r="93" ht="15.75" customHeight="1">
      <c r="A93" s="7">
        <v>16.0</v>
      </c>
      <c r="B93" s="2" t="s">
        <v>184</v>
      </c>
      <c r="C93" s="3" t="s">
        <v>215</v>
      </c>
      <c r="D93" s="8" t="s">
        <v>216</v>
      </c>
      <c r="E93" s="9"/>
      <c r="F93" s="5">
        <f t="shared" si="1"/>
        <v>0</v>
      </c>
      <c r="G93" s="8" t="s">
        <v>215</v>
      </c>
      <c r="H93" s="3" t="s">
        <v>28</v>
      </c>
      <c r="I93" s="3" t="s">
        <v>28</v>
      </c>
      <c r="J93" s="3" t="s">
        <v>29</v>
      </c>
      <c r="K93" s="3" t="s">
        <v>28</v>
      </c>
      <c r="L93" s="3" t="s">
        <v>32</v>
      </c>
      <c r="M93" s="3" t="s">
        <v>31</v>
      </c>
      <c r="N93" s="3" t="s">
        <v>28</v>
      </c>
      <c r="O93" s="3" t="s">
        <v>30</v>
      </c>
      <c r="P93" s="3" t="s">
        <v>28</v>
      </c>
      <c r="Q93" s="3" t="s">
        <v>30</v>
      </c>
      <c r="R93" s="3" t="s">
        <v>29</v>
      </c>
      <c r="S93" s="3" t="s">
        <v>28</v>
      </c>
      <c r="T93" s="3" t="s">
        <v>31</v>
      </c>
      <c r="U93" s="3" t="s">
        <v>31</v>
      </c>
      <c r="V93" s="3" t="s">
        <v>30</v>
      </c>
      <c r="W93" s="3" t="s">
        <v>31</v>
      </c>
      <c r="X93" s="3" t="s">
        <v>28</v>
      </c>
      <c r="Y93" s="3" t="s">
        <v>31</v>
      </c>
      <c r="Z93" s="3" t="s">
        <v>28</v>
      </c>
      <c r="AA93" s="3" t="s">
        <v>28</v>
      </c>
    </row>
    <row r="94" ht="15.75" customHeight="1">
      <c r="A94" s="7">
        <v>17.0</v>
      </c>
      <c r="B94" s="2" t="s">
        <v>184</v>
      </c>
      <c r="C94" s="3" t="s">
        <v>217</v>
      </c>
      <c r="D94" s="8" t="s">
        <v>218</v>
      </c>
      <c r="E94" s="9"/>
      <c r="F94" s="5">
        <f t="shared" si="1"/>
        <v>0</v>
      </c>
      <c r="G94" s="8" t="s">
        <v>217</v>
      </c>
      <c r="H94" s="3" t="s">
        <v>30</v>
      </c>
      <c r="I94" s="3" t="s">
        <v>28</v>
      </c>
      <c r="J94" s="3" t="s">
        <v>29</v>
      </c>
      <c r="K94" s="3" t="s">
        <v>28</v>
      </c>
      <c r="L94" s="3" t="s">
        <v>32</v>
      </c>
      <c r="M94" s="3" t="s">
        <v>28</v>
      </c>
      <c r="N94" s="3" t="s">
        <v>31</v>
      </c>
      <c r="O94" s="3" t="s">
        <v>31</v>
      </c>
      <c r="P94" s="3" t="s">
        <v>28</v>
      </c>
      <c r="Q94" s="3" t="s">
        <v>30</v>
      </c>
      <c r="R94" s="3" t="s">
        <v>31</v>
      </c>
      <c r="S94" s="3" t="s">
        <v>28</v>
      </c>
      <c r="T94" s="3" t="s">
        <v>32</v>
      </c>
      <c r="U94" s="3" t="s">
        <v>30</v>
      </c>
      <c r="V94" s="3" t="s">
        <v>31</v>
      </c>
      <c r="W94" s="3" t="s">
        <v>29</v>
      </c>
      <c r="X94" s="3" t="s">
        <v>31</v>
      </c>
      <c r="Y94" s="3" t="s">
        <v>28</v>
      </c>
      <c r="Z94" s="3" t="s">
        <v>31</v>
      </c>
      <c r="AA94" s="3" t="s">
        <v>29</v>
      </c>
    </row>
    <row r="95" ht="15.75" customHeight="1">
      <c r="A95" s="7">
        <v>18.0</v>
      </c>
      <c r="B95" s="2" t="s">
        <v>184</v>
      </c>
      <c r="C95" s="3" t="s">
        <v>219</v>
      </c>
      <c r="D95" s="8" t="s">
        <v>220</v>
      </c>
      <c r="E95" s="9"/>
      <c r="F95" s="5">
        <f t="shared" si="1"/>
        <v>0</v>
      </c>
      <c r="G95" s="8" t="s">
        <v>219</v>
      </c>
      <c r="H95" s="3" t="s">
        <v>30</v>
      </c>
      <c r="I95" s="3" t="s">
        <v>28</v>
      </c>
      <c r="J95" s="3" t="s">
        <v>29</v>
      </c>
      <c r="K95" s="3" t="s">
        <v>30</v>
      </c>
      <c r="L95" s="3" t="s">
        <v>28</v>
      </c>
      <c r="M95" s="3" t="s">
        <v>31</v>
      </c>
      <c r="N95" s="3" t="s">
        <v>32</v>
      </c>
      <c r="O95" s="3" t="s">
        <v>30</v>
      </c>
      <c r="P95" s="3" t="s">
        <v>28</v>
      </c>
      <c r="Q95" s="3" t="s">
        <v>32</v>
      </c>
      <c r="R95" s="3" t="s">
        <v>32</v>
      </c>
      <c r="S95" s="3" t="s">
        <v>28</v>
      </c>
      <c r="T95" s="3" t="s">
        <v>31</v>
      </c>
      <c r="U95" s="3" t="s">
        <v>32</v>
      </c>
      <c r="V95" s="3" t="s">
        <v>31</v>
      </c>
      <c r="W95" s="3" t="s">
        <v>30</v>
      </c>
      <c r="X95" s="3" t="s">
        <v>31</v>
      </c>
      <c r="Y95" s="3" t="s">
        <v>28</v>
      </c>
      <c r="Z95" s="3" t="s">
        <v>31</v>
      </c>
      <c r="AA95" s="3" t="s">
        <v>28</v>
      </c>
    </row>
    <row r="96" ht="15.75" customHeight="1">
      <c r="A96" s="7">
        <v>19.0</v>
      </c>
      <c r="B96" s="2" t="s">
        <v>184</v>
      </c>
      <c r="C96" s="3" t="s">
        <v>221</v>
      </c>
      <c r="D96" s="8" t="s">
        <v>222</v>
      </c>
      <c r="E96" s="9"/>
      <c r="F96" s="5">
        <f t="shared" si="1"/>
        <v>0</v>
      </c>
      <c r="G96" s="8" t="s">
        <v>221</v>
      </c>
      <c r="H96" s="3" t="s">
        <v>28</v>
      </c>
      <c r="I96" s="3" t="s">
        <v>28</v>
      </c>
      <c r="J96" s="3" t="s">
        <v>30</v>
      </c>
      <c r="K96" s="3" t="s">
        <v>28</v>
      </c>
      <c r="L96" s="3" t="s">
        <v>29</v>
      </c>
      <c r="M96" s="3" t="s">
        <v>28</v>
      </c>
      <c r="N96" s="3" t="s">
        <v>30</v>
      </c>
      <c r="O96" s="3" t="s">
        <v>31</v>
      </c>
      <c r="P96" s="3" t="s">
        <v>28</v>
      </c>
      <c r="Q96" s="3" t="s">
        <v>30</v>
      </c>
      <c r="R96" s="3" t="s">
        <v>32</v>
      </c>
      <c r="S96" s="3" t="s">
        <v>28</v>
      </c>
      <c r="T96" s="3" t="s">
        <v>31</v>
      </c>
      <c r="U96" s="3" t="s">
        <v>31</v>
      </c>
      <c r="V96" s="3" t="s">
        <v>223</v>
      </c>
      <c r="W96" s="3"/>
      <c r="X96" s="3" t="s">
        <v>28</v>
      </c>
      <c r="Y96" s="3" t="s">
        <v>32</v>
      </c>
      <c r="Z96" s="3" t="s">
        <v>28</v>
      </c>
      <c r="AA96" s="3" t="s">
        <v>28</v>
      </c>
    </row>
    <row r="97" ht="15.75" customHeight="1">
      <c r="A97" s="7">
        <v>20.0</v>
      </c>
      <c r="B97" s="2" t="s">
        <v>184</v>
      </c>
      <c r="C97" s="3" t="s">
        <v>224</v>
      </c>
      <c r="D97" s="8" t="s">
        <v>225</v>
      </c>
      <c r="E97" s="9"/>
      <c r="F97" s="5">
        <f t="shared" si="1"/>
        <v>0</v>
      </c>
      <c r="G97" s="8" t="s">
        <v>224</v>
      </c>
      <c r="H97" s="3" t="s">
        <v>31</v>
      </c>
      <c r="I97" s="3" t="s">
        <v>28</v>
      </c>
      <c r="J97" s="3" t="s">
        <v>31</v>
      </c>
      <c r="K97" s="3" t="s">
        <v>28</v>
      </c>
      <c r="L97" s="3" t="s">
        <v>30</v>
      </c>
      <c r="M97" s="3" t="s">
        <v>29</v>
      </c>
      <c r="N97" s="3" t="s">
        <v>30</v>
      </c>
      <c r="O97" s="3" t="s">
        <v>30</v>
      </c>
      <c r="P97" s="3" t="s">
        <v>31</v>
      </c>
      <c r="Q97" s="3" t="s">
        <v>31</v>
      </c>
      <c r="R97" s="3" t="s">
        <v>32</v>
      </c>
      <c r="S97" s="3" t="s">
        <v>28</v>
      </c>
      <c r="T97" s="3" t="s">
        <v>31</v>
      </c>
      <c r="U97" s="3" t="s">
        <v>28</v>
      </c>
      <c r="V97" s="3" t="s">
        <v>31</v>
      </c>
      <c r="W97" s="3" t="s">
        <v>29</v>
      </c>
      <c r="X97" s="3" t="s">
        <v>31</v>
      </c>
      <c r="Y97" s="3" t="s">
        <v>28</v>
      </c>
      <c r="Z97" s="3" t="s">
        <v>29</v>
      </c>
      <c r="AA97" s="3" t="s">
        <v>28</v>
      </c>
    </row>
    <row r="98" ht="15.75" customHeight="1">
      <c r="A98" s="7">
        <v>21.0</v>
      </c>
      <c r="B98" s="2" t="s">
        <v>184</v>
      </c>
      <c r="C98" s="3" t="s">
        <v>226</v>
      </c>
      <c r="D98" s="8" t="s">
        <v>227</v>
      </c>
      <c r="E98" s="9"/>
      <c r="F98" s="5">
        <f t="shared" si="1"/>
        <v>0</v>
      </c>
      <c r="G98" s="8" t="s">
        <v>226</v>
      </c>
      <c r="H98" s="3" t="s">
        <v>28</v>
      </c>
      <c r="I98" s="3" t="s">
        <v>28</v>
      </c>
      <c r="J98" s="3" t="s">
        <v>32</v>
      </c>
      <c r="K98" s="3" t="s">
        <v>29</v>
      </c>
      <c r="L98" s="3" t="s">
        <v>32</v>
      </c>
      <c r="M98" s="3" t="s">
        <v>30</v>
      </c>
      <c r="N98" s="3" t="s">
        <v>31</v>
      </c>
      <c r="O98" s="3" t="s">
        <v>31</v>
      </c>
      <c r="P98" s="3" t="s">
        <v>29</v>
      </c>
      <c r="Q98" s="3" t="s">
        <v>28</v>
      </c>
      <c r="R98" s="3" t="s">
        <v>32</v>
      </c>
      <c r="S98" s="3" t="s">
        <v>28</v>
      </c>
      <c r="T98" s="3" t="s">
        <v>31</v>
      </c>
      <c r="U98" s="3" t="s">
        <v>31</v>
      </c>
      <c r="V98" s="3" t="s">
        <v>30</v>
      </c>
      <c r="W98" s="3" t="s">
        <v>29</v>
      </c>
      <c r="X98" s="3" t="s">
        <v>31</v>
      </c>
      <c r="Y98" s="3" t="s">
        <v>28</v>
      </c>
      <c r="Z98" s="3" t="s">
        <v>31</v>
      </c>
      <c r="AA98" s="3" t="s">
        <v>28</v>
      </c>
    </row>
    <row r="99" ht="15.75" customHeight="1">
      <c r="A99" s="7">
        <v>22.0</v>
      </c>
      <c r="B99" s="2" t="s">
        <v>184</v>
      </c>
      <c r="C99" s="3" t="s">
        <v>228</v>
      </c>
      <c r="D99" s="8" t="s">
        <v>229</v>
      </c>
      <c r="E99" s="9"/>
      <c r="F99" s="5">
        <f t="shared" si="1"/>
        <v>0</v>
      </c>
      <c r="G99" s="8" t="s">
        <v>228</v>
      </c>
      <c r="H99" s="3" t="s">
        <v>30</v>
      </c>
      <c r="I99" s="3" t="s">
        <v>28</v>
      </c>
      <c r="J99" s="3" t="s">
        <v>28</v>
      </c>
      <c r="K99" s="3" t="s">
        <v>28</v>
      </c>
      <c r="L99" s="3" t="s">
        <v>30</v>
      </c>
      <c r="M99" s="3" t="s">
        <v>28</v>
      </c>
      <c r="N99" s="3" t="s">
        <v>31</v>
      </c>
      <c r="O99" s="3" t="s">
        <v>31</v>
      </c>
      <c r="P99" s="3" t="s">
        <v>29</v>
      </c>
      <c r="Q99" s="3" t="s">
        <v>30</v>
      </c>
      <c r="R99" s="3" t="s">
        <v>32</v>
      </c>
      <c r="S99" s="3" t="s">
        <v>28</v>
      </c>
      <c r="T99" s="3" t="s">
        <v>31</v>
      </c>
      <c r="U99" s="3" t="s">
        <v>28</v>
      </c>
      <c r="V99" s="3" t="s">
        <v>29</v>
      </c>
      <c r="W99" s="3" t="s">
        <v>28</v>
      </c>
      <c r="X99" s="3" t="s">
        <v>31</v>
      </c>
      <c r="Y99" s="3" t="s">
        <v>31</v>
      </c>
      <c r="Z99" s="3" t="s">
        <v>31</v>
      </c>
      <c r="AA99" s="3" t="s">
        <v>30</v>
      </c>
    </row>
    <row r="100" ht="15.75" customHeight="1">
      <c r="A100" s="7">
        <v>23.0</v>
      </c>
      <c r="B100" s="2" t="s">
        <v>184</v>
      </c>
      <c r="C100" s="3" t="s">
        <v>230</v>
      </c>
      <c r="D100" s="8" t="s">
        <v>231</v>
      </c>
      <c r="E100" s="9"/>
      <c r="F100" s="5">
        <f t="shared" si="1"/>
        <v>0</v>
      </c>
      <c r="G100" s="8" t="s">
        <v>230</v>
      </c>
      <c r="H100" s="3" t="s">
        <v>32</v>
      </c>
      <c r="I100" s="3" t="s">
        <v>28</v>
      </c>
      <c r="J100" s="3" t="s">
        <v>31</v>
      </c>
      <c r="K100" s="3" t="s">
        <v>28</v>
      </c>
      <c r="L100" s="3" t="s">
        <v>32</v>
      </c>
      <c r="M100" s="3" t="s">
        <v>29</v>
      </c>
      <c r="N100" s="3" t="s">
        <v>31</v>
      </c>
      <c r="O100" s="3" t="s">
        <v>30</v>
      </c>
      <c r="P100" s="3" t="s">
        <v>31</v>
      </c>
      <c r="Q100" s="3" t="s">
        <v>31</v>
      </c>
      <c r="R100" s="3" t="s">
        <v>28</v>
      </c>
      <c r="S100" s="3" t="s">
        <v>28</v>
      </c>
      <c r="T100" s="3" t="s">
        <v>31</v>
      </c>
      <c r="U100" s="3" t="s">
        <v>30</v>
      </c>
      <c r="V100" s="3" t="s">
        <v>31</v>
      </c>
      <c r="W100" s="3" t="s">
        <v>32</v>
      </c>
      <c r="X100" s="3" t="s">
        <v>30</v>
      </c>
      <c r="Y100" s="3" t="s">
        <v>31</v>
      </c>
      <c r="Z100" s="3" t="s">
        <v>30</v>
      </c>
      <c r="AA100" s="3" t="s">
        <v>30</v>
      </c>
    </row>
    <row r="101" ht="15.75" customHeight="1">
      <c r="A101" s="7">
        <v>24.0</v>
      </c>
      <c r="B101" s="2" t="s">
        <v>184</v>
      </c>
      <c r="C101" s="3" t="s">
        <v>232</v>
      </c>
      <c r="D101" s="8" t="s">
        <v>233</v>
      </c>
      <c r="E101" s="9"/>
      <c r="F101" s="5">
        <f t="shared" si="1"/>
        <v>0</v>
      </c>
      <c r="G101" s="8" t="s">
        <v>232</v>
      </c>
      <c r="H101" s="3" t="s">
        <v>31</v>
      </c>
      <c r="I101" s="3" t="s">
        <v>28</v>
      </c>
      <c r="J101" s="3" t="s">
        <v>30</v>
      </c>
      <c r="K101" s="3" t="s">
        <v>28</v>
      </c>
      <c r="L101" s="3" t="s">
        <v>31</v>
      </c>
      <c r="M101" s="3" t="s">
        <v>30</v>
      </c>
      <c r="N101" s="3" t="s">
        <v>31</v>
      </c>
      <c r="O101" s="3" t="s">
        <v>32</v>
      </c>
      <c r="P101" s="3" t="s">
        <v>28</v>
      </c>
      <c r="Q101" s="3" t="s">
        <v>30</v>
      </c>
      <c r="R101" s="3" t="s">
        <v>32</v>
      </c>
      <c r="S101" s="3" t="s">
        <v>28</v>
      </c>
      <c r="T101" s="3" t="s">
        <v>31</v>
      </c>
      <c r="U101" s="3" t="s">
        <v>28</v>
      </c>
      <c r="V101" s="3" t="s">
        <v>29</v>
      </c>
      <c r="W101" s="3" t="s">
        <v>30</v>
      </c>
      <c r="X101" s="3" t="s">
        <v>31</v>
      </c>
      <c r="Y101" s="3" t="s">
        <v>30</v>
      </c>
      <c r="Z101" s="3" t="s">
        <v>28</v>
      </c>
      <c r="AA101" s="3" t="s">
        <v>32</v>
      </c>
    </row>
    <row r="102" ht="15.75" customHeight="1">
      <c r="A102" s="7">
        <v>25.0</v>
      </c>
      <c r="B102" s="2" t="s">
        <v>184</v>
      </c>
      <c r="C102" s="3" t="s">
        <v>234</v>
      </c>
      <c r="D102" s="8" t="s">
        <v>235</v>
      </c>
      <c r="E102" s="9"/>
      <c r="F102" s="5">
        <f t="shared" si="1"/>
        <v>0</v>
      </c>
      <c r="G102" s="8" t="s">
        <v>234</v>
      </c>
      <c r="H102" s="3" t="s">
        <v>31</v>
      </c>
      <c r="I102" s="3" t="s">
        <v>29</v>
      </c>
      <c r="J102" s="3" t="s">
        <v>29</v>
      </c>
      <c r="K102" s="3" t="s">
        <v>29</v>
      </c>
      <c r="L102" s="3" t="s">
        <v>32</v>
      </c>
      <c r="M102" s="3" t="s">
        <v>28</v>
      </c>
      <c r="N102" s="3" t="s">
        <v>29</v>
      </c>
      <c r="O102" s="3" t="s">
        <v>28</v>
      </c>
      <c r="P102" s="3" t="s">
        <v>31</v>
      </c>
      <c r="Q102" s="3" t="s">
        <v>30</v>
      </c>
      <c r="R102" s="3" t="s">
        <v>32</v>
      </c>
      <c r="S102" s="3" t="s">
        <v>28</v>
      </c>
      <c r="T102" s="3" t="s">
        <v>30</v>
      </c>
      <c r="U102" s="3" t="s">
        <v>31</v>
      </c>
      <c r="V102" s="3" t="s">
        <v>31</v>
      </c>
      <c r="W102" s="3" t="s">
        <v>28</v>
      </c>
      <c r="X102" s="3" t="s">
        <v>31</v>
      </c>
      <c r="Y102" s="3" t="s">
        <v>30</v>
      </c>
      <c r="Z102" s="3" t="s">
        <v>29</v>
      </c>
      <c r="AA102" s="3" t="s">
        <v>29</v>
      </c>
    </row>
    <row r="103" ht="15.75" customHeight="1">
      <c r="A103" s="7">
        <v>26.0</v>
      </c>
      <c r="B103" s="2" t="s">
        <v>184</v>
      </c>
      <c r="C103" s="3" t="s">
        <v>236</v>
      </c>
      <c r="D103" s="8" t="s">
        <v>237</v>
      </c>
      <c r="E103" s="9"/>
      <c r="F103" s="5">
        <f t="shared" si="1"/>
        <v>0</v>
      </c>
      <c r="G103" s="8" t="s">
        <v>236</v>
      </c>
      <c r="H103" s="3" t="s">
        <v>28</v>
      </c>
      <c r="I103" s="3" t="s">
        <v>28</v>
      </c>
      <c r="J103" s="3" t="s">
        <v>28</v>
      </c>
      <c r="K103" s="3" t="s">
        <v>28</v>
      </c>
      <c r="L103" s="3" t="s">
        <v>32</v>
      </c>
      <c r="M103" s="3" t="s">
        <v>28</v>
      </c>
      <c r="N103" s="3" t="s">
        <v>30</v>
      </c>
      <c r="O103" s="3" t="s">
        <v>31</v>
      </c>
      <c r="P103" s="3" t="s">
        <v>28</v>
      </c>
      <c r="Q103" s="3" t="s">
        <v>30</v>
      </c>
      <c r="R103" s="3" t="s">
        <v>30</v>
      </c>
      <c r="S103" s="3" t="s">
        <v>28</v>
      </c>
      <c r="T103" s="3" t="s">
        <v>30</v>
      </c>
      <c r="U103" s="3" t="s">
        <v>31</v>
      </c>
      <c r="V103" s="3" t="s">
        <v>30</v>
      </c>
      <c r="W103" s="3" t="s">
        <v>30</v>
      </c>
      <c r="X103" s="3" t="s">
        <v>31</v>
      </c>
      <c r="Y103" s="3" t="s">
        <v>31</v>
      </c>
      <c r="Z103" s="3" t="s">
        <v>29</v>
      </c>
      <c r="AA103" s="3" t="s">
        <v>32</v>
      </c>
    </row>
    <row r="104" ht="15.75" customHeight="1">
      <c r="A104" s="7">
        <v>27.0</v>
      </c>
      <c r="B104" s="2" t="s">
        <v>184</v>
      </c>
      <c r="C104" s="3" t="s">
        <v>238</v>
      </c>
      <c r="D104" s="8" t="s">
        <v>239</v>
      </c>
      <c r="E104" s="9"/>
      <c r="F104" s="5">
        <f t="shared" si="1"/>
        <v>-9134376119</v>
      </c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7">
        <v>28.0</v>
      </c>
      <c r="B105" s="2" t="s">
        <v>184</v>
      </c>
      <c r="C105" s="3" t="s">
        <v>240</v>
      </c>
      <c r="D105" s="8" t="s">
        <v>241</v>
      </c>
      <c r="E105" s="9"/>
      <c r="F105" s="5">
        <f t="shared" si="1"/>
        <v>0</v>
      </c>
      <c r="G105" s="8" t="s">
        <v>240</v>
      </c>
      <c r="H105" s="3" t="s">
        <v>31</v>
      </c>
      <c r="I105" s="3" t="s">
        <v>28</v>
      </c>
      <c r="J105" s="3" t="s">
        <v>30</v>
      </c>
      <c r="K105" s="3" t="s">
        <v>28</v>
      </c>
      <c r="L105" s="3" t="s">
        <v>29</v>
      </c>
      <c r="M105" s="3" t="s">
        <v>30</v>
      </c>
      <c r="N105" s="3" t="s">
        <v>31</v>
      </c>
      <c r="O105" s="3" t="s">
        <v>30</v>
      </c>
      <c r="P105" s="3" t="s">
        <v>29</v>
      </c>
      <c r="Q105" s="3" t="s">
        <v>32</v>
      </c>
      <c r="R105" s="3" t="s">
        <v>32</v>
      </c>
      <c r="S105" s="3" t="s">
        <v>28</v>
      </c>
      <c r="T105" s="3" t="s">
        <v>31</v>
      </c>
      <c r="U105" s="3" t="s">
        <v>31</v>
      </c>
      <c r="V105" s="3" t="s">
        <v>30</v>
      </c>
      <c r="W105" s="3" t="s">
        <v>32</v>
      </c>
      <c r="X105" s="3" t="s">
        <v>31</v>
      </c>
      <c r="Y105" s="3" t="s">
        <v>28</v>
      </c>
      <c r="Z105" s="3" t="s">
        <v>30</v>
      </c>
      <c r="AA105" s="3" t="s">
        <v>28</v>
      </c>
    </row>
    <row r="106" ht="15.75" customHeight="1">
      <c r="A106" s="7">
        <v>29.0</v>
      </c>
      <c r="B106" s="2" t="s">
        <v>184</v>
      </c>
      <c r="C106" s="3" t="s">
        <v>242</v>
      </c>
      <c r="D106" s="8" t="s">
        <v>243</v>
      </c>
      <c r="E106" s="9"/>
      <c r="F106" s="5">
        <f t="shared" si="1"/>
        <v>0</v>
      </c>
      <c r="G106" s="8" t="s">
        <v>242</v>
      </c>
      <c r="H106" s="3" t="s">
        <v>31</v>
      </c>
      <c r="I106" s="3" t="s">
        <v>28</v>
      </c>
      <c r="J106" s="3" t="s">
        <v>31</v>
      </c>
      <c r="K106" s="3" t="s">
        <v>28</v>
      </c>
      <c r="L106" s="3" t="s">
        <v>32</v>
      </c>
      <c r="M106" s="3" t="s">
        <v>29</v>
      </c>
      <c r="N106" s="3" t="s">
        <v>31</v>
      </c>
      <c r="O106" s="3" t="s">
        <v>30</v>
      </c>
      <c r="P106" s="3" t="s">
        <v>29</v>
      </c>
      <c r="Q106" s="3" t="s">
        <v>28</v>
      </c>
      <c r="R106" s="3" t="s">
        <v>32</v>
      </c>
      <c r="S106" s="3" t="s">
        <v>28</v>
      </c>
      <c r="T106" s="3" t="s">
        <v>30</v>
      </c>
      <c r="U106" s="3" t="s">
        <v>30</v>
      </c>
      <c r="V106" s="3" t="s">
        <v>31</v>
      </c>
      <c r="W106" s="3" t="s">
        <v>28</v>
      </c>
      <c r="X106" s="3" t="s">
        <v>31</v>
      </c>
      <c r="Y106" s="3" t="s">
        <v>28</v>
      </c>
      <c r="Z106" s="3" t="s">
        <v>28</v>
      </c>
      <c r="AA106" s="3" t="s">
        <v>32</v>
      </c>
    </row>
    <row r="107" ht="15.75" customHeight="1">
      <c r="A107" s="7">
        <v>30.0</v>
      </c>
      <c r="B107" s="2" t="s">
        <v>184</v>
      </c>
      <c r="C107" s="3" t="s">
        <v>244</v>
      </c>
      <c r="D107" s="8" t="s">
        <v>245</v>
      </c>
      <c r="E107" s="9"/>
      <c r="F107" s="5">
        <f t="shared" si="1"/>
        <v>0</v>
      </c>
      <c r="G107" s="8" t="s">
        <v>244</v>
      </c>
      <c r="H107" s="3" t="s">
        <v>31</v>
      </c>
      <c r="I107" s="3" t="s">
        <v>28</v>
      </c>
      <c r="J107" s="3" t="s">
        <v>29</v>
      </c>
      <c r="K107" s="3" t="s">
        <v>28</v>
      </c>
      <c r="L107" s="3" t="s">
        <v>28</v>
      </c>
      <c r="M107" s="3" t="s">
        <v>32</v>
      </c>
      <c r="N107" s="3" t="s">
        <v>31</v>
      </c>
      <c r="O107" s="3" t="s">
        <v>31</v>
      </c>
      <c r="P107" s="3" t="s">
        <v>29</v>
      </c>
      <c r="Q107" s="3" t="s">
        <v>30</v>
      </c>
      <c r="R107" s="3" t="s">
        <v>28</v>
      </c>
      <c r="S107" s="3" t="s">
        <v>28</v>
      </c>
      <c r="T107" s="3" t="s">
        <v>31</v>
      </c>
      <c r="U107" s="3" t="s">
        <v>28</v>
      </c>
      <c r="V107" s="3" t="s">
        <v>29</v>
      </c>
      <c r="W107" s="3" t="s">
        <v>31</v>
      </c>
      <c r="X107" s="3" t="s">
        <v>31</v>
      </c>
      <c r="Y107" s="3" t="s">
        <v>28</v>
      </c>
      <c r="Z107" s="3" t="s">
        <v>32</v>
      </c>
      <c r="AA107" s="3" t="s">
        <v>28</v>
      </c>
    </row>
    <row r="108" ht="15.75" customHeight="1">
      <c r="A108" s="7">
        <v>31.0</v>
      </c>
      <c r="B108" s="2" t="s">
        <v>184</v>
      </c>
      <c r="C108" s="3" t="s">
        <v>246</v>
      </c>
      <c r="D108" s="8" t="s">
        <v>247</v>
      </c>
      <c r="E108" s="9"/>
      <c r="F108" s="5">
        <f t="shared" si="1"/>
        <v>0</v>
      </c>
      <c r="G108" s="8" t="s">
        <v>246</v>
      </c>
      <c r="H108" s="3" t="s">
        <v>29</v>
      </c>
      <c r="I108" s="3" t="s">
        <v>28</v>
      </c>
      <c r="J108" s="3" t="s">
        <v>29</v>
      </c>
      <c r="K108" s="3" t="s">
        <v>28</v>
      </c>
      <c r="L108" s="3" t="s">
        <v>32</v>
      </c>
      <c r="M108" s="3" t="s">
        <v>30</v>
      </c>
      <c r="N108" s="3" t="s">
        <v>30</v>
      </c>
      <c r="O108" s="3" t="s">
        <v>28</v>
      </c>
      <c r="P108" s="3" t="s">
        <v>30</v>
      </c>
      <c r="Q108" s="3" t="s">
        <v>30</v>
      </c>
      <c r="R108" s="3" t="s">
        <v>32</v>
      </c>
      <c r="S108" s="3" t="s">
        <v>28</v>
      </c>
      <c r="T108" s="3" t="s">
        <v>31</v>
      </c>
      <c r="U108" s="3" t="s">
        <v>28</v>
      </c>
      <c r="V108" s="3" t="s">
        <v>30</v>
      </c>
      <c r="W108" s="3" t="s">
        <v>28</v>
      </c>
      <c r="X108" s="3" t="s">
        <v>31</v>
      </c>
      <c r="Y108" s="3" t="s">
        <v>31</v>
      </c>
      <c r="Z108" s="3" t="s">
        <v>29</v>
      </c>
      <c r="AA108" s="3" t="s">
        <v>28</v>
      </c>
    </row>
    <row r="109" ht="15.75" customHeight="1">
      <c r="A109" s="7">
        <v>32.0</v>
      </c>
      <c r="B109" s="2" t="s">
        <v>184</v>
      </c>
      <c r="C109" s="3" t="s">
        <v>248</v>
      </c>
      <c r="D109" s="10" t="s">
        <v>249</v>
      </c>
      <c r="E109" s="9"/>
      <c r="F109" s="5">
        <f t="shared" si="1"/>
        <v>0</v>
      </c>
      <c r="G109" s="8" t="s">
        <v>248</v>
      </c>
      <c r="H109" s="3" t="s">
        <v>30</v>
      </c>
      <c r="I109" s="3" t="s">
        <v>30</v>
      </c>
      <c r="J109" s="3" t="s">
        <v>29</v>
      </c>
      <c r="K109" s="3" t="s">
        <v>28</v>
      </c>
      <c r="L109" s="3" t="s">
        <v>30</v>
      </c>
      <c r="M109" s="3" t="s">
        <v>30</v>
      </c>
      <c r="N109" s="3" t="s">
        <v>30</v>
      </c>
      <c r="O109" s="3" t="s">
        <v>30</v>
      </c>
      <c r="P109" s="3" t="s">
        <v>32</v>
      </c>
      <c r="Q109" s="3" t="s">
        <v>29</v>
      </c>
      <c r="R109" s="3" t="s">
        <v>30</v>
      </c>
      <c r="S109" s="3" t="s">
        <v>28</v>
      </c>
      <c r="T109" s="3" t="s">
        <v>31</v>
      </c>
      <c r="U109" s="3" t="s">
        <v>30</v>
      </c>
      <c r="V109" s="3" t="s">
        <v>30</v>
      </c>
      <c r="W109" s="3" t="s">
        <v>29</v>
      </c>
      <c r="X109" s="3" t="s">
        <v>28</v>
      </c>
      <c r="Y109" s="3" t="s">
        <v>28</v>
      </c>
      <c r="Z109" s="3" t="s">
        <v>32</v>
      </c>
      <c r="AA109" s="3" t="s">
        <v>32</v>
      </c>
    </row>
    <row r="110" ht="15.75" customHeight="1">
      <c r="A110" s="7">
        <v>33.0</v>
      </c>
      <c r="B110" s="2" t="s">
        <v>184</v>
      </c>
      <c r="C110" s="3" t="s">
        <v>250</v>
      </c>
      <c r="D110" s="8" t="s">
        <v>251</v>
      </c>
      <c r="E110" s="9"/>
      <c r="F110" s="5">
        <f t="shared" si="1"/>
        <v>0</v>
      </c>
      <c r="G110" s="8" t="s">
        <v>250</v>
      </c>
      <c r="H110" s="3" t="s">
        <v>32</v>
      </c>
      <c r="I110" s="3" t="s">
        <v>28</v>
      </c>
      <c r="J110" s="3" t="s">
        <v>32</v>
      </c>
      <c r="K110" s="3" t="s">
        <v>28</v>
      </c>
      <c r="L110" s="3" t="s">
        <v>32</v>
      </c>
      <c r="M110" s="3" t="s">
        <v>28</v>
      </c>
      <c r="N110" s="3" t="s">
        <v>30</v>
      </c>
      <c r="O110" s="3" t="s">
        <v>30</v>
      </c>
      <c r="P110" s="3" t="s">
        <v>29</v>
      </c>
      <c r="Q110" s="3" t="s">
        <v>31</v>
      </c>
      <c r="R110" s="3" t="s">
        <v>32</v>
      </c>
      <c r="S110" s="3" t="s">
        <v>28</v>
      </c>
      <c r="T110" s="3" t="s">
        <v>30</v>
      </c>
      <c r="U110" s="3" t="s">
        <v>28</v>
      </c>
      <c r="V110" s="3" t="s">
        <v>30</v>
      </c>
      <c r="W110" s="3" t="s">
        <v>31</v>
      </c>
      <c r="X110" s="3" t="s">
        <v>31</v>
      </c>
      <c r="Y110" s="3" t="s">
        <v>30</v>
      </c>
      <c r="Z110" s="3" t="s">
        <v>31</v>
      </c>
      <c r="AA110" s="3" t="s">
        <v>29</v>
      </c>
    </row>
    <row r="111" ht="15.75" customHeight="1">
      <c r="A111" s="7">
        <v>34.0</v>
      </c>
      <c r="B111" s="2" t="s">
        <v>184</v>
      </c>
      <c r="C111" s="3" t="s">
        <v>252</v>
      </c>
      <c r="D111" s="8" t="s">
        <v>253</v>
      </c>
      <c r="E111" s="9"/>
      <c r="F111" s="5">
        <f t="shared" si="1"/>
        <v>0</v>
      </c>
      <c r="G111" s="8" t="s">
        <v>252</v>
      </c>
      <c r="H111" s="3" t="s">
        <v>30</v>
      </c>
      <c r="I111" s="3" t="s">
        <v>29</v>
      </c>
      <c r="J111" s="3" t="s">
        <v>31</v>
      </c>
      <c r="K111" s="3" t="s">
        <v>28</v>
      </c>
      <c r="L111" s="3" t="s">
        <v>28</v>
      </c>
      <c r="M111" s="3" t="s">
        <v>29</v>
      </c>
      <c r="N111" s="3" t="s">
        <v>30</v>
      </c>
      <c r="O111" s="3" t="s">
        <v>31</v>
      </c>
      <c r="P111" s="3" t="s">
        <v>28</v>
      </c>
      <c r="Q111" s="3" t="s">
        <v>29</v>
      </c>
      <c r="R111" s="3" t="s">
        <v>32</v>
      </c>
      <c r="S111" s="3" t="s">
        <v>28</v>
      </c>
      <c r="T111" s="3" t="s">
        <v>31</v>
      </c>
      <c r="U111" s="3" t="s">
        <v>31</v>
      </c>
      <c r="V111" s="3" t="s">
        <v>30</v>
      </c>
      <c r="W111" s="3" t="s">
        <v>28</v>
      </c>
      <c r="X111" s="3" t="s">
        <v>31</v>
      </c>
      <c r="Y111" s="3" t="s">
        <v>31</v>
      </c>
      <c r="Z111" s="3" t="s">
        <v>32</v>
      </c>
      <c r="AA111" s="3" t="s">
        <v>32</v>
      </c>
    </row>
    <row r="112" ht="15.75" customHeight="1">
      <c r="A112" s="7">
        <v>35.0</v>
      </c>
      <c r="B112" s="2" t="s">
        <v>184</v>
      </c>
      <c r="C112" s="3" t="s">
        <v>254</v>
      </c>
      <c r="D112" s="8" t="s">
        <v>255</v>
      </c>
      <c r="E112" s="9"/>
      <c r="F112" s="5">
        <f t="shared" si="1"/>
        <v>0</v>
      </c>
      <c r="G112" s="8" t="s">
        <v>254</v>
      </c>
      <c r="H112" s="3" t="s">
        <v>30</v>
      </c>
      <c r="I112" s="3" t="s">
        <v>28</v>
      </c>
      <c r="J112" s="3" t="s">
        <v>29</v>
      </c>
      <c r="K112" s="3" t="s">
        <v>28</v>
      </c>
      <c r="L112" s="3" t="s">
        <v>28</v>
      </c>
      <c r="M112" s="3" t="s">
        <v>32</v>
      </c>
      <c r="N112" s="3" t="s">
        <v>30</v>
      </c>
      <c r="O112" s="3" t="s">
        <v>31</v>
      </c>
      <c r="P112" s="3" t="s">
        <v>30</v>
      </c>
      <c r="Q112" s="3" t="s">
        <v>29</v>
      </c>
      <c r="R112" s="3" t="s">
        <v>31</v>
      </c>
      <c r="S112" s="3" t="s">
        <v>28</v>
      </c>
      <c r="T112" s="3" t="s">
        <v>31</v>
      </c>
      <c r="U112" s="3" t="s">
        <v>28</v>
      </c>
      <c r="V112" s="3" t="s">
        <v>31</v>
      </c>
      <c r="W112" s="3" t="s">
        <v>32</v>
      </c>
      <c r="X112" s="3" t="s">
        <v>30</v>
      </c>
      <c r="Y112" s="3" t="s">
        <v>28</v>
      </c>
      <c r="Z112" s="3" t="s">
        <v>29</v>
      </c>
      <c r="AA112" s="3" t="s">
        <v>28</v>
      </c>
    </row>
    <row r="113" ht="15.75" customHeight="1">
      <c r="A113" s="12">
        <v>36.0</v>
      </c>
      <c r="B113" s="13" t="s">
        <v>184</v>
      </c>
      <c r="C113" s="14" t="s">
        <v>256</v>
      </c>
      <c r="D113" s="15" t="s">
        <v>257</v>
      </c>
      <c r="E113" s="16"/>
      <c r="F113" s="17">
        <f t="shared" si="1"/>
        <v>0</v>
      </c>
      <c r="G113" s="15" t="s">
        <v>256</v>
      </c>
      <c r="H113" s="14" t="s">
        <v>32</v>
      </c>
      <c r="I113" s="14" t="s">
        <v>28</v>
      </c>
      <c r="J113" s="14" t="s">
        <v>31</v>
      </c>
      <c r="K113" s="14" t="s">
        <v>28</v>
      </c>
      <c r="L113" s="14" t="s">
        <v>30</v>
      </c>
      <c r="M113" s="14" t="s">
        <v>32</v>
      </c>
      <c r="N113" s="14" t="s">
        <v>29</v>
      </c>
      <c r="O113" s="14" t="s">
        <v>31</v>
      </c>
      <c r="P113" s="14" t="s">
        <v>31</v>
      </c>
      <c r="Q113" s="14" t="s">
        <v>29</v>
      </c>
      <c r="R113" s="14" t="s">
        <v>30</v>
      </c>
      <c r="S113" s="14" t="s">
        <v>28</v>
      </c>
      <c r="T113" s="14" t="s">
        <v>30</v>
      </c>
      <c r="U113" s="14" t="s">
        <v>30</v>
      </c>
      <c r="V113" s="14" t="s">
        <v>31</v>
      </c>
      <c r="W113" s="14" t="s">
        <v>30</v>
      </c>
      <c r="X113" s="14" t="s">
        <v>31</v>
      </c>
      <c r="Y113" s="14" t="s">
        <v>31</v>
      </c>
      <c r="Z113" s="14" t="s">
        <v>31</v>
      </c>
      <c r="AA113" s="14" t="s">
        <v>32</v>
      </c>
    </row>
    <row r="114" ht="15.75" customHeight="1">
      <c r="A114" s="7">
        <v>1.0</v>
      </c>
      <c r="B114" s="2" t="s">
        <v>258</v>
      </c>
      <c r="C114" s="3" t="s">
        <v>259</v>
      </c>
      <c r="D114" s="8" t="s">
        <v>260</v>
      </c>
      <c r="E114" s="9"/>
      <c r="F114" s="5">
        <f t="shared" si="1"/>
        <v>0</v>
      </c>
      <c r="G114" s="8" t="s">
        <v>259</v>
      </c>
      <c r="H114" s="3" t="s">
        <v>29</v>
      </c>
      <c r="I114" s="3" t="s">
        <v>28</v>
      </c>
      <c r="J114" s="3" t="s">
        <v>28</v>
      </c>
      <c r="K114" s="3" t="s">
        <v>28</v>
      </c>
      <c r="L114" s="3" t="s">
        <v>29</v>
      </c>
      <c r="M114" s="3" t="s">
        <v>29</v>
      </c>
      <c r="N114" s="3" t="s">
        <v>31</v>
      </c>
      <c r="O114" s="3" t="s">
        <v>31</v>
      </c>
      <c r="P114" s="3" t="s">
        <v>28</v>
      </c>
      <c r="Q114" s="3" t="s">
        <v>30</v>
      </c>
      <c r="R114" s="3" t="s">
        <v>32</v>
      </c>
      <c r="S114" s="3" t="s">
        <v>28</v>
      </c>
      <c r="T114" s="3" t="s">
        <v>31</v>
      </c>
      <c r="U114" s="3" t="s">
        <v>29</v>
      </c>
      <c r="V114" s="3" t="s">
        <v>30</v>
      </c>
      <c r="W114" s="3" t="s">
        <v>30</v>
      </c>
      <c r="X114" s="3" t="s">
        <v>31</v>
      </c>
      <c r="Y114" s="3" t="s">
        <v>32</v>
      </c>
      <c r="Z114" s="3" t="s">
        <v>32</v>
      </c>
      <c r="AA114" s="3" t="s">
        <v>28</v>
      </c>
    </row>
    <row r="115" ht="15.75" customHeight="1">
      <c r="A115" s="7">
        <v>2.0</v>
      </c>
      <c r="B115" s="2" t="s">
        <v>258</v>
      </c>
      <c r="C115" s="3" t="s">
        <v>261</v>
      </c>
      <c r="D115" s="8" t="s">
        <v>262</v>
      </c>
      <c r="E115" s="9"/>
      <c r="F115" s="5">
        <f t="shared" si="1"/>
        <v>-9763628130</v>
      </c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7">
        <v>3.0</v>
      </c>
      <c r="B116" s="2" t="s">
        <v>258</v>
      </c>
      <c r="C116" s="3" t="s">
        <v>263</v>
      </c>
      <c r="D116" s="8" t="s">
        <v>264</v>
      </c>
      <c r="E116" s="9"/>
      <c r="F116" s="5">
        <f t="shared" si="1"/>
        <v>0</v>
      </c>
      <c r="G116" s="8" t="s">
        <v>263</v>
      </c>
      <c r="H116" s="3" t="s">
        <v>28</v>
      </c>
      <c r="I116" s="3" t="s">
        <v>28</v>
      </c>
      <c r="J116" s="3" t="s">
        <v>32</v>
      </c>
      <c r="K116" s="3" t="s">
        <v>28</v>
      </c>
      <c r="L116" s="3" t="s">
        <v>31</v>
      </c>
      <c r="M116" s="3" t="s">
        <v>30</v>
      </c>
      <c r="N116" s="3" t="s">
        <v>30</v>
      </c>
      <c r="O116" s="3" t="s">
        <v>31</v>
      </c>
      <c r="P116" s="3" t="s">
        <v>28</v>
      </c>
      <c r="Q116" s="3" t="s">
        <v>30</v>
      </c>
      <c r="R116" s="3" t="s">
        <v>32</v>
      </c>
      <c r="S116" s="3" t="s">
        <v>28</v>
      </c>
      <c r="T116" s="3" t="s">
        <v>31</v>
      </c>
      <c r="U116" s="3"/>
      <c r="V116" s="3" t="s">
        <v>30</v>
      </c>
      <c r="W116" s="3"/>
      <c r="X116" s="3" t="s">
        <v>31</v>
      </c>
      <c r="Y116" s="3" t="s">
        <v>31</v>
      </c>
      <c r="Z116" s="3" t="s">
        <v>32</v>
      </c>
      <c r="AA116" s="3" t="s">
        <v>28</v>
      </c>
    </row>
    <row r="117" ht="15.75" customHeight="1">
      <c r="A117" s="7">
        <v>4.0</v>
      </c>
      <c r="B117" s="2" t="s">
        <v>258</v>
      </c>
      <c r="C117" s="3" t="s">
        <v>265</v>
      </c>
      <c r="D117" s="8" t="s">
        <v>266</v>
      </c>
      <c r="E117" s="9"/>
      <c r="F117" s="5">
        <f t="shared" si="1"/>
        <v>0</v>
      </c>
      <c r="G117" s="8" t="s">
        <v>265</v>
      </c>
      <c r="H117" s="3" t="s">
        <v>28</v>
      </c>
      <c r="I117" s="3" t="s">
        <v>29</v>
      </c>
      <c r="J117" s="3" t="s">
        <v>32</v>
      </c>
      <c r="K117" s="3" t="s">
        <v>28</v>
      </c>
      <c r="L117" s="3" t="s">
        <v>32</v>
      </c>
      <c r="M117" s="3" t="s">
        <v>29</v>
      </c>
      <c r="N117" s="3" t="s">
        <v>30</v>
      </c>
      <c r="O117" s="3" t="s">
        <v>31</v>
      </c>
      <c r="P117" s="3" t="s">
        <v>30</v>
      </c>
      <c r="Q117" s="3" t="s">
        <v>31</v>
      </c>
      <c r="R117" s="3" t="s">
        <v>30</v>
      </c>
      <c r="S117" s="3" t="s">
        <v>28</v>
      </c>
      <c r="T117" s="3" t="s">
        <v>31</v>
      </c>
      <c r="U117" s="3" t="s">
        <v>29</v>
      </c>
      <c r="V117" s="3" t="s">
        <v>31</v>
      </c>
      <c r="W117" s="3" t="s">
        <v>32</v>
      </c>
      <c r="X117" s="3" t="s">
        <v>31</v>
      </c>
      <c r="Y117" s="3" t="s">
        <v>30</v>
      </c>
      <c r="Z117" s="3" t="s">
        <v>31</v>
      </c>
      <c r="AA117" s="3" t="s">
        <v>30</v>
      </c>
    </row>
    <row r="118" ht="15.75" customHeight="1">
      <c r="A118" s="7">
        <v>5.0</v>
      </c>
      <c r="B118" s="2" t="s">
        <v>258</v>
      </c>
      <c r="C118" s="3" t="s">
        <v>267</v>
      </c>
      <c r="D118" s="8" t="s">
        <v>268</v>
      </c>
      <c r="E118" s="9"/>
      <c r="F118" s="5">
        <f t="shared" si="1"/>
        <v>-8577681157</v>
      </c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7">
        <v>6.0</v>
      </c>
      <c r="B119" s="2" t="s">
        <v>258</v>
      </c>
      <c r="C119" s="3" t="s">
        <v>269</v>
      </c>
      <c r="D119" s="8" t="s">
        <v>270</v>
      </c>
      <c r="E119" s="9"/>
      <c r="F119" s="5">
        <f t="shared" si="1"/>
        <v>0</v>
      </c>
      <c r="G119" s="8" t="s">
        <v>269</v>
      </c>
      <c r="H119" s="3" t="s">
        <v>28</v>
      </c>
      <c r="I119" s="3" t="s">
        <v>28</v>
      </c>
      <c r="J119" s="3" t="s">
        <v>30</v>
      </c>
      <c r="K119" s="3" t="s">
        <v>28</v>
      </c>
      <c r="L119" s="3" t="s">
        <v>32</v>
      </c>
      <c r="M119" s="3" t="s">
        <v>31</v>
      </c>
      <c r="N119" s="3" t="s">
        <v>31</v>
      </c>
      <c r="O119" s="3" t="s">
        <v>31</v>
      </c>
      <c r="P119" s="3" t="s">
        <v>28</v>
      </c>
      <c r="Q119" s="3" t="s">
        <v>29</v>
      </c>
      <c r="R119" s="3" t="s">
        <v>32</v>
      </c>
      <c r="S119" s="3" t="s">
        <v>28</v>
      </c>
      <c r="T119" s="3" t="s">
        <v>31</v>
      </c>
      <c r="U119" s="3" t="s">
        <v>30</v>
      </c>
      <c r="V119" s="3" t="s">
        <v>31</v>
      </c>
      <c r="W119" s="3" t="s">
        <v>28</v>
      </c>
      <c r="X119" s="3" t="s">
        <v>31</v>
      </c>
      <c r="Y119" s="3" t="s">
        <v>28</v>
      </c>
      <c r="Z119" s="3" t="s">
        <v>32</v>
      </c>
      <c r="AA119" s="3" t="s">
        <v>28</v>
      </c>
    </row>
    <row r="120" ht="15.75" customHeight="1">
      <c r="A120" s="7">
        <v>7.0</v>
      </c>
      <c r="B120" s="2" t="s">
        <v>258</v>
      </c>
      <c r="C120" s="3" t="s">
        <v>271</v>
      </c>
      <c r="D120" s="8" t="s">
        <v>272</v>
      </c>
      <c r="E120" s="9"/>
      <c r="F120" s="5">
        <f t="shared" si="1"/>
        <v>0</v>
      </c>
      <c r="G120" s="8" t="s">
        <v>271</v>
      </c>
      <c r="H120" s="3" t="s">
        <v>30</v>
      </c>
      <c r="I120" s="3" t="s">
        <v>29</v>
      </c>
      <c r="J120" s="3" t="s">
        <v>32</v>
      </c>
      <c r="K120" s="3" t="s">
        <v>28</v>
      </c>
      <c r="L120" s="3" t="s">
        <v>32</v>
      </c>
      <c r="M120" s="3" t="s">
        <v>28</v>
      </c>
      <c r="N120" s="3" t="s">
        <v>31</v>
      </c>
      <c r="O120" s="3" t="s">
        <v>30</v>
      </c>
      <c r="P120" s="3" t="s">
        <v>28</v>
      </c>
      <c r="Q120" s="3" t="s">
        <v>30</v>
      </c>
      <c r="R120" s="3" t="s">
        <v>32</v>
      </c>
      <c r="S120" s="3" t="s">
        <v>28</v>
      </c>
      <c r="T120" s="3" t="s">
        <v>30</v>
      </c>
      <c r="U120" s="3" t="s">
        <v>31</v>
      </c>
      <c r="V120" s="3" t="s">
        <v>31</v>
      </c>
      <c r="W120" s="3" t="s">
        <v>29</v>
      </c>
      <c r="X120" s="3" t="s">
        <v>31</v>
      </c>
      <c r="Y120" s="3" t="s">
        <v>28</v>
      </c>
      <c r="Z120" s="3" t="s">
        <v>32</v>
      </c>
      <c r="AA120" s="3" t="s">
        <v>30</v>
      </c>
    </row>
    <row r="121" ht="15.75" customHeight="1">
      <c r="A121" s="7">
        <v>8.0</v>
      </c>
      <c r="B121" s="2" t="s">
        <v>258</v>
      </c>
      <c r="C121" s="3" t="s">
        <v>273</v>
      </c>
      <c r="D121" s="10" t="s">
        <v>274</v>
      </c>
      <c r="E121" s="9"/>
      <c r="F121" s="5">
        <f t="shared" si="1"/>
        <v>0</v>
      </c>
      <c r="G121" s="8" t="s">
        <v>273</v>
      </c>
      <c r="H121" s="3" t="s">
        <v>30</v>
      </c>
      <c r="I121" s="3" t="s">
        <v>28</v>
      </c>
      <c r="J121" s="3" t="s">
        <v>32</v>
      </c>
      <c r="K121" s="3" t="s">
        <v>28</v>
      </c>
      <c r="L121" s="3" t="s">
        <v>32</v>
      </c>
      <c r="M121" s="3" t="s">
        <v>30</v>
      </c>
      <c r="N121" s="3" t="s">
        <v>32</v>
      </c>
      <c r="O121" s="3" t="s">
        <v>29</v>
      </c>
      <c r="P121" s="3" t="s">
        <v>28</v>
      </c>
      <c r="Q121" s="3" t="s">
        <v>28</v>
      </c>
      <c r="R121" s="3" t="s">
        <v>32</v>
      </c>
      <c r="S121" s="3" t="s">
        <v>28</v>
      </c>
      <c r="T121" s="3" t="s">
        <v>30</v>
      </c>
      <c r="U121" s="3" t="s">
        <v>30</v>
      </c>
      <c r="V121" s="3" t="s">
        <v>28</v>
      </c>
      <c r="W121" s="3" t="s">
        <v>31</v>
      </c>
      <c r="X121" s="3" t="s">
        <v>28</v>
      </c>
      <c r="Y121" s="3" t="s">
        <v>32</v>
      </c>
      <c r="Z121" s="3" t="s">
        <v>32</v>
      </c>
      <c r="AA121" s="3" t="s">
        <v>31</v>
      </c>
    </row>
    <row r="122" ht="15.75" customHeight="1">
      <c r="A122" s="7">
        <v>9.0</v>
      </c>
      <c r="B122" s="2" t="s">
        <v>258</v>
      </c>
      <c r="C122" s="3" t="s">
        <v>275</v>
      </c>
      <c r="D122" s="8" t="s">
        <v>276</v>
      </c>
      <c r="E122" s="9"/>
      <c r="F122" s="5">
        <f t="shared" si="1"/>
        <v>-8393148170</v>
      </c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7">
        <v>10.0</v>
      </c>
      <c r="B123" s="2" t="s">
        <v>258</v>
      </c>
      <c r="C123" s="3" t="s">
        <v>277</v>
      </c>
      <c r="D123" s="8" t="s">
        <v>278</v>
      </c>
      <c r="E123" s="9"/>
      <c r="F123" s="5">
        <f t="shared" si="1"/>
        <v>0</v>
      </c>
      <c r="G123" s="8" t="s">
        <v>277</v>
      </c>
      <c r="H123" s="3" t="s">
        <v>29</v>
      </c>
      <c r="I123" s="3" t="s">
        <v>30</v>
      </c>
      <c r="J123" s="3" t="s">
        <v>30</v>
      </c>
      <c r="K123" s="3" t="s">
        <v>28</v>
      </c>
      <c r="L123" s="3" t="s">
        <v>29</v>
      </c>
      <c r="M123" s="3" t="s">
        <v>31</v>
      </c>
      <c r="N123" s="3" t="s">
        <v>30</v>
      </c>
      <c r="O123" s="3" t="s">
        <v>31</v>
      </c>
      <c r="P123" s="3" t="s">
        <v>31</v>
      </c>
      <c r="Q123" s="3" t="s">
        <v>29</v>
      </c>
      <c r="R123" s="3" t="s">
        <v>32</v>
      </c>
      <c r="S123" s="3" t="s">
        <v>28</v>
      </c>
      <c r="T123" s="3" t="s">
        <v>31</v>
      </c>
      <c r="U123" s="3" t="s">
        <v>28</v>
      </c>
      <c r="V123" s="3" t="s">
        <v>30</v>
      </c>
      <c r="W123" s="3" t="s">
        <v>28</v>
      </c>
      <c r="X123" s="3" t="s">
        <v>31</v>
      </c>
      <c r="Y123" s="3" t="s">
        <v>29</v>
      </c>
      <c r="Z123" s="3" t="s">
        <v>32</v>
      </c>
      <c r="AA123" s="3" t="s">
        <v>28</v>
      </c>
    </row>
    <row r="124" ht="15.75" customHeight="1">
      <c r="A124" s="7">
        <v>11.0</v>
      </c>
      <c r="B124" s="2" t="s">
        <v>258</v>
      </c>
      <c r="C124" s="3" t="s">
        <v>279</v>
      </c>
      <c r="D124" s="8" t="s">
        <v>280</v>
      </c>
      <c r="E124" s="9"/>
      <c r="F124" s="5">
        <f t="shared" si="1"/>
        <v>0</v>
      </c>
      <c r="G124" s="8" t="s">
        <v>279</v>
      </c>
      <c r="H124" s="3" t="s">
        <v>32</v>
      </c>
      <c r="I124" s="3" t="s">
        <v>28</v>
      </c>
      <c r="J124" s="3" t="s">
        <v>28</v>
      </c>
      <c r="K124" s="3" t="s">
        <v>28</v>
      </c>
      <c r="L124" s="3" t="s">
        <v>32</v>
      </c>
      <c r="M124" s="3" t="s">
        <v>31</v>
      </c>
      <c r="N124" s="3" t="s">
        <v>30</v>
      </c>
      <c r="O124" s="3" t="s">
        <v>28</v>
      </c>
      <c r="P124" s="3" t="s">
        <v>29</v>
      </c>
      <c r="Q124" s="3" t="s">
        <v>29</v>
      </c>
      <c r="R124" s="3" t="s">
        <v>28</v>
      </c>
      <c r="S124" s="3" t="s">
        <v>28</v>
      </c>
      <c r="T124" s="3" t="s">
        <v>30</v>
      </c>
      <c r="U124" s="3" t="s">
        <v>31</v>
      </c>
      <c r="V124" s="3" t="s">
        <v>30</v>
      </c>
      <c r="W124" s="3" t="s">
        <v>28</v>
      </c>
      <c r="X124" s="3" t="s">
        <v>30</v>
      </c>
      <c r="Y124" s="3" t="s">
        <v>32</v>
      </c>
      <c r="Z124" s="3" t="s">
        <v>31</v>
      </c>
      <c r="AA124" s="3" t="s">
        <v>29</v>
      </c>
    </row>
    <row r="125" ht="15.75" customHeight="1">
      <c r="A125" s="7">
        <v>12.0</v>
      </c>
      <c r="B125" s="2" t="s">
        <v>258</v>
      </c>
      <c r="C125" s="3" t="s">
        <v>281</v>
      </c>
      <c r="D125" s="8" t="s">
        <v>282</v>
      </c>
      <c r="E125" s="9"/>
      <c r="F125" s="5">
        <f t="shared" si="1"/>
        <v>0</v>
      </c>
      <c r="G125" s="8" t="s">
        <v>281</v>
      </c>
      <c r="H125" s="3" t="s">
        <v>30</v>
      </c>
      <c r="I125" s="3" t="s">
        <v>28</v>
      </c>
      <c r="J125" s="3" t="s">
        <v>30</v>
      </c>
      <c r="K125" s="3" t="s">
        <v>28</v>
      </c>
      <c r="L125" s="3" t="s">
        <v>30</v>
      </c>
      <c r="M125" s="3" t="s">
        <v>30</v>
      </c>
      <c r="N125" s="3" t="s">
        <v>29</v>
      </c>
      <c r="O125" s="3" t="s">
        <v>31</v>
      </c>
      <c r="P125" s="3" t="s">
        <v>28</v>
      </c>
      <c r="Q125" s="3" t="s">
        <v>30</v>
      </c>
      <c r="R125" s="3" t="s">
        <v>32</v>
      </c>
      <c r="S125" s="3" t="s">
        <v>28</v>
      </c>
      <c r="T125" s="3" t="s">
        <v>31</v>
      </c>
      <c r="U125" s="3" t="s">
        <v>32</v>
      </c>
      <c r="V125" s="3" t="s">
        <v>29</v>
      </c>
      <c r="W125" s="3" t="s">
        <v>28</v>
      </c>
      <c r="X125" s="3" t="s">
        <v>31</v>
      </c>
      <c r="Y125" s="3" t="s">
        <v>28</v>
      </c>
      <c r="Z125" s="3" t="s">
        <v>32</v>
      </c>
      <c r="AA125" s="3" t="s">
        <v>28</v>
      </c>
    </row>
    <row r="126" ht="15.75" customHeight="1">
      <c r="A126" s="7">
        <v>13.0</v>
      </c>
      <c r="B126" s="2" t="s">
        <v>258</v>
      </c>
      <c r="C126" s="3" t="s">
        <v>283</v>
      </c>
      <c r="D126" s="8" t="s">
        <v>284</v>
      </c>
      <c r="E126" s="9"/>
      <c r="F126" s="5">
        <f t="shared" si="1"/>
        <v>0</v>
      </c>
      <c r="G126" s="8" t="s">
        <v>283</v>
      </c>
      <c r="H126" s="3" t="s">
        <v>32</v>
      </c>
      <c r="I126" s="3" t="s">
        <v>29</v>
      </c>
      <c r="J126" s="3" t="s">
        <v>29</v>
      </c>
      <c r="K126" s="3" t="s">
        <v>28</v>
      </c>
      <c r="L126" s="3" t="s">
        <v>32</v>
      </c>
      <c r="M126" s="3" t="s">
        <v>28</v>
      </c>
      <c r="N126" s="3" t="s">
        <v>31</v>
      </c>
      <c r="O126" s="3" t="s">
        <v>30</v>
      </c>
      <c r="P126" s="3" t="s">
        <v>31</v>
      </c>
      <c r="Q126" s="3" t="s">
        <v>30</v>
      </c>
      <c r="R126" s="3" t="s">
        <v>31</v>
      </c>
      <c r="S126" s="3" t="s">
        <v>28</v>
      </c>
      <c r="T126" s="3" t="s">
        <v>31</v>
      </c>
      <c r="U126" s="3" t="s">
        <v>29</v>
      </c>
      <c r="V126" s="3" t="s">
        <v>31</v>
      </c>
      <c r="W126" s="3" t="s">
        <v>30</v>
      </c>
      <c r="X126" s="3" t="s">
        <v>31</v>
      </c>
      <c r="Y126" s="3" t="s">
        <v>32</v>
      </c>
      <c r="Z126" s="3" t="s">
        <v>28</v>
      </c>
      <c r="AA126" s="3" t="s">
        <v>30</v>
      </c>
    </row>
    <row r="127" ht="15.75" customHeight="1">
      <c r="A127" s="7">
        <v>14.0</v>
      </c>
      <c r="B127" s="2" t="s">
        <v>258</v>
      </c>
      <c r="C127" s="3" t="s">
        <v>285</v>
      </c>
      <c r="D127" s="8" t="s">
        <v>286</v>
      </c>
      <c r="E127" s="9"/>
      <c r="F127" s="5">
        <f t="shared" si="1"/>
        <v>0</v>
      </c>
      <c r="G127" s="8" t="s">
        <v>285</v>
      </c>
      <c r="H127" s="3" t="s">
        <v>31</v>
      </c>
      <c r="I127" s="3" t="s">
        <v>28</v>
      </c>
      <c r="J127" s="3" t="s">
        <v>32</v>
      </c>
      <c r="K127" s="3" t="s">
        <v>28</v>
      </c>
      <c r="L127" s="3" t="s">
        <v>32</v>
      </c>
      <c r="M127" s="3" t="s">
        <v>32</v>
      </c>
      <c r="N127" s="3" t="s">
        <v>30</v>
      </c>
      <c r="O127" s="3" t="s">
        <v>32</v>
      </c>
      <c r="P127" s="3" t="s">
        <v>28</v>
      </c>
      <c r="Q127" s="3" t="s">
        <v>29</v>
      </c>
      <c r="R127" s="3" t="s">
        <v>32</v>
      </c>
      <c r="S127" s="3" t="s">
        <v>28</v>
      </c>
      <c r="T127" s="3" t="s">
        <v>31</v>
      </c>
      <c r="U127" s="3" t="s">
        <v>31</v>
      </c>
      <c r="V127" s="3" t="s">
        <v>30</v>
      </c>
      <c r="W127" s="3" t="s">
        <v>32</v>
      </c>
      <c r="X127" s="3" t="s">
        <v>31</v>
      </c>
      <c r="Y127" s="3" t="s">
        <v>31</v>
      </c>
      <c r="Z127" s="3" t="s">
        <v>31</v>
      </c>
      <c r="AA127" s="3" t="s">
        <v>29</v>
      </c>
    </row>
    <row r="128" ht="15.75" customHeight="1">
      <c r="A128" s="7">
        <v>15.0</v>
      </c>
      <c r="B128" s="2" t="s">
        <v>258</v>
      </c>
      <c r="C128" s="3" t="s">
        <v>287</v>
      </c>
      <c r="D128" s="8" t="s">
        <v>288</v>
      </c>
      <c r="E128" s="9"/>
      <c r="F128" s="5">
        <f t="shared" si="1"/>
        <v>0</v>
      </c>
      <c r="G128" s="8" t="s">
        <v>287</v>
      </c>
      <c r="H128" s="3" t="s">
        <v>29</v>
      </c>
      <c r="I128" s="3" t="s">
        <v>28</v>
      </c>
      <c r="J128" s="3" t="s">
        <v>32</v>
      </c>
      <c r="K128" s="3" t="s">
        <v>28</v>
      </c>
      <c r="L128" s="3" t="s">
        <v>28</v>
      </c>
      <c r="M128" s="3" t="s">
        <v>29</v>
      </c>
      <c r="N128" s="3" t="s">
        <v>31</v>
      </c>
      <c r="O128" s="3" t="s">
        <v>31</v>
      </c>
      <c r="P128" s="3" t="s">
        <v>28</v>
      </c>
      <c r="Q128" s="3" t="s">
        <v>30</v>
      </c>
      <c r="R128" s="3" t="s">
        <v>32</v>
      </c>
      <c r="S128" s="3" t="s">
        <v>28</v>
      </c>
      <c r="T128" s="3" t="s">
        <v>31</v>
      </c>
      <c r="U128" s="3" t="s">
        <v>32</v>
      </c>
      <c r="V128" s="3" t="s">
        <v>30</v>
      </c>
      <c r="W128" s="3" t="s">
        <v>28</v>
      </c>
      <c r="X128" s="3" t="s">
        <v>31</v>
      </c>
      <c r="Y128" s="3" t="s">
        <v>28</v>
      </c>
      <c r="Z128" s="3" t="s">
        <v>31</v>
      </c>
      <c r="AA128" s="3" t="s">
        <v>32</v>
      </c>
    </row>
    <row r="129" ht="15.75" customHeight="1">
      <c r="A129" s="7">
        <v>16.0</v>
      </c>
      <c r="B129" s="2" t="s">
        <v>258</v>
      </c>
      <c r="C129" s="3" t="s">
        <v>289</v>
      </c>
      <c r="D129" s="8" t="s">
        <v>290</v>
      </c>
      <c r="E129" s="9"/>
      <c r="F129" s="5">
        <f t="shared" si="1"/>
        <v>0</v>
      </c>
      <c r="G129" s="8" t="s">
        <v>289</v>
      </c>
      <c r="H129" s="3" t="s">
        <v>30</v>
      </c>
      <c r="I129" s="3" t="s">
        <v>30</v>
      </c>
      <c r="J129" s="3" t="s">
        <v>28</v>
      </c>
      <c r="K129" s="3" t="s">
        <v>28</v>
      </c>
      <c r="L129" s="3" t="s">
        <v>28</v>
      </c>
      <c r="M129" s="3" t="s">
        <v>31</v>
      </c>
      <c r="N129" s="3" t="s">
        <v>29</v>
      </c>
      <c r="O129" s="3" t="s">
        <v>31</v>
      </c>
      <c r="P129" s="3" t="s">
        <v>32</v>
      </c>
      <c r="Q129" s="3" t="s">
        <v>30</v>
      </c>
      <c r="R129" s="3" t="s">
        <v>32</v>
      </c>
      <c r="S129" s="3" t="s">
        <v>28</v>
      </c>
      <c r="T129" s="3" t="s">
        <v>31</v>
      </c>
      <c r="U129" s="3" t="s">
        <v>31</v>
      </c>
      <c r="V129" s="3" t="s">
        <v>28</v>
      </c>
      <c r="W129" s="3" t="s">
        <v>28</v>
      </c>
      <c r="X129" s="3" t="s">
        <v>31</v>
      </c>
      <c r="Y129" s="3" t="s">
        <v>31</v>
      </c>
      <c r="Z129" s="3" t="s">
        <v>31</v>
      </c>
      <c r="AA129" s="3" t="s">
        <v>28</v>
      </c>
    </row>
    <row r="130" ht="15.75" customHeight="1">
      <c r="A130" s="7">
        <v>17.0</v>
      </c>
      <c r="B130" s="2" t="s">
        <v>258</v>
      </c>
      <c r="C130" s="3" t="s">
        <v>291</v>
      </c>
      <c r="D130" s="8" t="s">
        <v>292</v>
      </c>
      <c r="E130" s="9"/>
      <c r="F130" s="5">
        <f t="shared" si="1"/>
        <v>0</v>
      </c>
      <c r="G130" s="8" t="s">
        <v>291</v>
      </c>
      <c r="H130" s="3" t="s">
        <v>29</v>
      </c>
      <c r="I130" s="3" t="s">
        <v>28</v>
      </c>
      <c r="J130" s="3" t="s">
        <v>28</v>
      </c>
      <c r="K130" s="3" t="s">
        <v>28</v>
      </c>
      <c r="L130" s="3" t="s">
        <v>32</v>
      </c>
      <c r="M130" s="3" t="s">
        <v>30</v>
      </c>
      <c r="N130" s="3" t="s">
        <v>31</v>
      </c>
      <c r="O130" s="3" t="s">
        <v>28</v>
      </c>
      <c r="P130" s="3" t="s">
        <v>30</v>
      </c>
      <c r="Q130" s="3" t="s">
        <v>29</v>
      </c>
      <c r="R130" s="3" t="s">
        <v>32</v>
      </c>
      <c r="S130" s="3" t="s">
        <v>28</v>
      </c>
      <c r="T130" s="3" t="s">
        <v>31</v>
      </c>
      <c r="U130" s="3" t="s">
        <v>31</v>
      </c>
      <c r="V130" s="3" t="s">
        <v>29</v>
      </c>
      <c r="W130" s="3" t="s">
        <v>30</v>
      </c>
      <c r="X130" s="3" t="s">
        <v>31</v>
      </c>
      <c r="Y130" s="3" t="s">
        <v>28</v>
      </c>
      <c r="Z130" s="3" t="s">
        <v>31</v>
      </c>
      <c r="AA130" s="3" t="s">
        <v>28</v>
      </c>
    </row>
    <row r="131" ht="15.75" customHeight="1">
      <c r="A131" s="7">
        <v>18.0</v>
      </c>
      <c r="B131" s="2" t="s">
        <v>258</v>
      </c>
      <c r="C131" s="3" t="s">
        <v>293</v>
      </c>
      <c r="D131" s="8" t="s">
        <v>294</v>
      </c>
      <c r="E131" s="9"/>
      <c r="F131" s="5">
        <f t="shared" si="1"/>
        <v>0</v>
      </c>
      <c r="G131" s="8" t="s">
        <v>293</v>
      </c>
      <c r="H131" s="3" t="s">
        <v>28</v>
      </c>
      <c r="I131" s="3" t="s">
        <v>28</v>
      </c>
      <c r="J131" s="3" t="s">
        <v>31</v>
      </c>
      <c r="K131" s="3" t="s">
        <v>28</v>
      </c>
      <c r="L131" s="3" t="s">
        <v>29</v>
      </c>
      <c r="M131" s="3" t="s">
        <v>29</v>
      </c>
      <c r="N131" s="3" t="s">
        <v>31</v>
      </c>
      <c r="O131" s="3" t="s">
        <v>31</v>
      </c>
      <c r="P131" s="3" t="s">
        <v>28</v>
      </c>
      <c r="Q131" s="3" t="s">
        <v>30</v>
      </c>
      <c r="R131" s="3" t="s">
        <v>32</v>
      </c>
      <c r="S131" s="3" t="s">
        <v>28</v>
      </c>
      <c r="T131" s="3" t="s">
        <v>31</v>
      </c>
      <c r="U131" s="3" t="s">
        <v>31</v>
      </c>
      <c r="V131" s="3" t="s">
        <v>30</v>
      </c>
      <c r="W131" s="3" t="s">
        <v>30</v>
      </c>
      <c r="X131" s="3" t="s">
        <v>31</v>
      </c>
      <c r="Y131" s="3" t="s">
        <v>32</v>
      </c>
      <c r="Z131" s="3" t="s">
        <v>31</v>
      </c>
      <c r="AA131" s="3" t="s">
        <v>32</v>
      </c>
    </row>
    <row r="132" ht="15.75" customHeight="1">
      <c r="A132" s="7">
        <v>19.0</v>
      </c>
      <c r="B132" s="2" t="s">
        <v>258</v>
      </c>
      <c r="C132" s="3" t="s">
        <v>295</v>
      </c>
      <c r="D132" s="8" t="s">
        <v>296</v>
      </c>
      <c r="E132" s="9"/>
      <c r="F132" s="5">
        <f t="shared" si="1"/>
        <v>0</v>
      </c>
      <c r="G132" s="8" t="s">
        <v>295</v>
      </c>
      <c r="H132" s="3" t="s">
        <v>28</v>
      </c>
      <c r="I132" s="3" t="s">
        <v>29</v>
      </c>
      <c r="J132" s="3" t="s">
        <v>28</v>
      </c>
      <c r="K132" s="3" t="s">
        <v>28</v>
      </c>
      <c r="L132" s="3" t="s">
        <v>32</v>
      </c>
      <c r="M132" s="3" t="s">
        <v>30</v>
      </c>
      <c r="N132" s="3" t="s">
        <v>31</v>
      </c>
      <c r="O132" s="3" t="s">
        <v>31</v>
      </c>
      <c r="P132" s="3" t="s">
        <v>28</v>
      </c>
      <c r="Q132" s="3" t="s">
        <v>30</v>
      </c>
      <c r="R132" s="3" t="s">
        <v>30</v>
      </c>
      <c r="S132" s="3" t="s">
        <v>28</v>
      </c>
      <c r="T132" s="3" t="s">
        <v>31</v>
      </c>
      <c r="U132" s="3" t="s">
        <v>29</v>
      </c>
      <c r="V132" s="3" t="s">
        <v>29</v>
      </c>
      <c r="W132" s="3" t="s">
        <v>31</v>
      </c>
      <c r="X132" s="3" t="s">
        <v>31</v>
      </c>
      <c r="Y132" s="3" t="s">
        <v>31</v>
      </c>
      <c r="Z132" s="3" t="s">
        <v>28</v>
      </c>
      <c r="AA132" s="3" t="s">
        <v>28</v>
      </c>
    </row>
    <row r="133" ht="15.75" customHeight="1">
      <c r="A133" s="7">
        <v>20.0</v>
      </c>
      <c r="B133" s="2" t="s">
        <v>258</v>
      </c>
      <c r="C133" s="3" t="s">
        <v>297</v>
      </c>
      <c r="D133" s="8" t="s">
        <v>298</v>
      </c>
      <c r="E133" s="9"/>
      <c r="F133" s="5">
        <f t="shared" si="1"/>
        <v>0</v>
      </c>
      <c r="G133" s="8" t="s">
        <v>297</v>
      </c>
      <c r="H133" s="3" t="s">
        <v>30</v>
      </c>
      <c r="I133" s="3" t="s">
        <v>28</v>
      </c>
      <c r="J133" s="3" t="s">
        <v>31</v>
      </c>
      <c r="K133" s="3" t="s">
        <v>28</v>
      </c>
      <c r="L133" s="3" t="s">
        <v>29</v>
      </c>
      <c r="M133" s="3" t="s">
        <v>29</v>
      </c>
      <c r="N133" s="3" t="s">
        <v>28</v>
      </c>
      <c r="O133" s="3" t="s">
        <v>28</v>
      </c>
      <c r="P133" s="3" t="s">
        <v>28</v>
      </c>
      <c r="Q133" s="3" t="s">
        <v>30</v>
      </c>
      <c r="R133" s="3" t="s">
        <v>32</v>
      </c>
      <c r="S133" s="3" t="s">
        <v>28</v>
      </c>
      <c r="T133" s="3" t="s">
        <v>31</v>
      </c>
      <c r="U133" s="3" t="s">
        <v>31</v>
      </c>
      <c r="V133" s="3" t="s">
        <v>30</v>
      </c>
      <c r="W133" s="3" t="s">
        <v>28</v>
      </c>
      <c r="X133" s="3" t="s">
        <v>28</v>
      </c>
      <c r="Y133" s="3" t="s">
        <v>32</v>
      </c>
      <c r="Z133" s="3" t="s">
        <v>29</v>
      </c>
      <c r="AA133" s="3" t="s">
        <v>30</v>
      </c>
    </row>
    <row r="134" ht="15.75" customHeight="1">
      <c r="A134" s="7">
        <v>21.0</v>
      </c>
      <c r="B134" s="2" t="s">
        <v>258</v>
      </c>
      <c r="C134" s="3" t="s">
        <v>299</v>
      </c>
      <c r="D134" s="8" t="s">
        <v>300</v>
      </c>
      <c r="E134" s="9"/>
      <c r="F134" s="5">
        <f t="shared" si="1"/>
        <v>0</v>
      </c>
      <c r="G134" s="8" t="s">
        <v>299</v>
      </c>
      <c r="H134" s="3" t="s">
        <v>28</v>
      </c>
      <c r="I134" s="3" t="s">
        <v>29</v>
      </c>
      <c r="J134" s="3" t="s">
        <v>32</v>
      </c>
      <c r="K134" s="3" t="s">
        <v>28</v>
      </c>
      <c r="L134" s="3" t="s">
        <v>32</v>
      </c>
      <c r="M134" s="3" t="s">
        <v>28</v>
      </c>
      <c r="N134" s="3" t="s">
        <v>31</v>
      </c>
      <c r="O134" s="3" t="s">
        <v>30</v>
      </c>
      <c r="P134" s="3" t="s">
        <v>28</v>
      </c>
      <c r="Q134" s="3" t="s">
        <v>30</v>
      </c>
      <c r="R134" s="3" t="s">
        <v>32</v>
      </c>
      <c r="S134" s="3" t="s">
        <v>28</v>
      </c>
      <c r="T134" s="3" t="s">
        <v>30</v>
      </c>
      <c r="U134" s="3" t="s">
        <v>31</v>
      </c>
      <c r="V134" s="3" t="s">
        <v>29</v>
      </c>
      <c r="W134" s="3" t="s">
        <v>29</v>
      </c>
      <c r="X134" s="3" t="s">
        <v>31</v>
      </c>
      <c r="Y134" s="3" t="s">
        <v>28</v>
      </c>
      <c r="Z134" s="3" t="s">
        <v>32</v>
      </c>
      <c r="AA134" s="3" t="s">
        <v>29</v>
      </c>
    </row>
    <row r="135" ht="15.75" customHeight="1">
      <c r="A135" s="7">
        <v>22.0</v>
      </c>
      <c r="B135" s="2" t="s">
        <v>258</v>
      </c>
      <c r="C135" s="3" t="s">
        <v>301</v>
      </c>
      <c r="D135" s="8" t="s">
        <v>302</v>
      </c>
      <c r="E135" s="9"/>
      <c r="F135" s="5">
        <f t="shared" si="1"/>
        <v>0</v>
      </c>
      <c r="G135" s="8" t="s">
        <v>301</v>
      </c>
      <c r="H135" s="3" t="s">
        <v>28</v>
      </c>
      <c r="I135" s="3" t="s">
        <v>28</v>
      </c>
      <c r="J135" s="3" t="s">
        <v>31</v>
      </c>
      <c r="K135" s="3" t="s">
        <v>28</v>
      </c>
      <c r="L135" s="3" t="s">
        <v>28</v>
      </c>
      <c r="M135" s="3" t="s">
        <v>32</v>
      </c>
      <c r="N135" s="3" t="s">
        <v>31</v>
      </c>
      <c r="O135" s="3" t="s">
        <v>31</v>
      </c>
      <c r="P135" s="3" t="s">
        <v>28</v>
      </c>
      <c r="Q135" s="3" t="s">
        <v>30</v>
      </c>
      <c r="R135" s="3" t="s">
        <v>32</v>
      </c>
      <c r="S135" s="3" t="s">
        <v>28</v>
      </c>
      <c r="T135" s="3" t="s">
        <v>31</v>
      </c>
      <c r="U135" s="3" t="s">
        <v>31</v>
      </c>
      <c r="V135" s="3" t="s">
        <v>30</v>
      </c>
      <c r="W135" s="3" t="s">
        <v>29</v>
      </c>
      <c r="X135" s="3" t="s">
        <v>28</v>
      </c>
      <c r="Y135" s="3" t="s">
        <v>28</v>
      </c>
      <c r="Z135" s="3" t="s">
        <v>30</v>
      </c>
      <c r="AA135" s="3" t="s">
        <v>30</v>
      </c>
    </row>
    <row r="136" ht="15.75" customHeight="1">
      <c r="A136" s="7">
        <v>23.0</v>
      </c>
      <c r="B136" s="2" t="s">
        <v>258</v>
      </c>
      <c r="C136" s="3" t="s">
        <v>303</v>
      </c>
      <c r="D136" s="8" t="s">
        <v>304</v>
      </c>
      <c r="E136" s="9"/>
      <c r="F136" s="5">
        <f t="shared" si="1"/>
        <v>0</v>
      </c>
      <c r="G136" s="8" t="s">
        <v>303</v>
      </c>
      <c r="H136" s="3" t="s">
        <v>29</v>
      </c>
      <c r="I136" s="3" t="s">
        <v>28</v>
      </c>
      <c r="J136" s="3" t="s">
        <v>29</v>
      </c>
      <c r="K136" s="3" t="s">
        <v>28</v>
      </c>
      <c r="L136" s="3" t="s">
        <v>32</v>
      </c>
      <c r="M136" s="3"/>
      <c r="N136" s="3" t="s">
        <v>29</v>
      </c>
      <c r="O136" s="3" t="s">
        <v>30</v>
      </c>
      <c r="P136" s="3" t="s">
        <v>31</v>
      </c>
      <c r="Q136" s="3"/>
      <c r="R136" s="3" t="s">
        <v>32</v>
      </c>
      <c r="S136" s="3" t="s">
        <v>28</v>
      </c>
      <c r="T136" s="3" t="s">
        <v>31</v>
      </c>
      <c r="U136" s="3"/>
      <c r="V136" s="3" t="s">
        <v>30</v>
      </c>
      <c r="W136" s="3"/>
      <c r="X136" s="3" t="s">
        <v>31</v>
      </c>
      <c r="Y136" s="3" t="s">
        <v>32</v>
      </c>
      <c r="Z136" s="3" t="s">
        <v>32</v>
      </c>
      <c r="AA136" s="3" t="s">
        <v>28</v>
      </c>
    </row>
    <row r="137" ht="15.75" customHeight="1">
      <c r="A137" s="7">
        <v>24.0</v>
      </c>
      <c r="B137" s="2" t="s">
        <v>258</v>
      </c>
      <c r="C137" s="3" t="s">
        <v>305</v>
      </c>
      <c r="D137" s="8" t="s">
        <v>306</v>
      </c>
      <c r="E137" s="9"/>
      <c r="F137" s="5">
        <f t="shared" si="1"/>
        <v>0</v>
      </c>
      <c r="G137" s="8" t="s">
        <v>305</v>
      </c>
      <c r="H137" s="3" t="s">
        <v>28</v>
      </c>
      <c r="I137" s="3" t="s">
        <v>28</v>
      </c>
      <c r="J137" s="3" t="s">
        <v>31</v>
      </c>
      <c r="K137" s="3" t="s">
        <v>28</v>
      </c>
      <c r="L137" s="3" t="s">
        <v>29</v>
      </c>
      <c r="M137" s="3" t="s">
        <v>28</v>
      </c>
      <c r="N137" s="3" t="s">
        <v>30</v>
      </c>
      <c r="O137" s="3" t="s">
        <v>28</v>
      </c>
      <c r="P137" s="3" t="s">
        <v>28</v>
      </c>
      <c r="Q137" s="3" t="s">
        <v>32</v>
      </c>
      <c r="R137" s="3" t="s">
        <v>32</v>
      </c>
      <c r="S137" s="3" t="s">
        <v>28</v>
      </c>
      <c r="T137" s="3" t="s">
        <v>30</v>
      </c>
      <c r="U137" s="3" t="s">
        <v>28</v>
      </c>
      <c r="V137" s="3" t="s">
        <v>28</v>
      </c>
      <c r="W137" s="3" t="s">
        <v>28</v>
      </c>
      <c r="X137" s="3" t="s">
        <v>28</v>
      </c>
      <c r="Y137" s="3" t="s">
        <v>28</v>
      </c>
      <c r="Z137" s="3" t="s">
        <v>28</v>
      </c>
      <c r="AA137" s="3" t="s">
        <v>28</v>
      </c>
    </row>
    <row r="138" ht="15.75" customHeight="1">
      <c r="A138" s="7">
        <v>25.0</v>
      </c>
      <c r="B138" s="2" t="s">
        <v>258</v>
      </c>
      <c r="C138" s="3" t="s">
        <v>307</v>
      </c>
      <c r="D138" s="8" t="s">
        <v>308</v>
      </c>
      <c r="E138" s="9"/>
      <c r="F138" s="5">
        <f t="shared" si="1"/>
        <v>0</v>
      </c>
      <c r="G138" s="8" t="s">
        <v>307</v>
      </c>
      <c r="H138" s="3" t="s">
        <v>28</v>
      </c>
      <c r="I138" s="3" t="s">
        <v>28</v>
      </c>
      <c r="J138" s="3" t="s">
        <v>30</v>
      </c>
      <c r="K138" s="3" t="s">
        <v>28</v>
      </c>
      <c r="L138" s="3" t="s">
        <v>30</v>
      </c>
      <c r="M138" s="3" t="s">
        <v>28</v>
      </c>
      <c r="N138" s="3" t="s">
        <v>29</v>
      </c>
      <c r="O138" s="3" t="s">
        <v>31</v>
      </c>
      <c r="P138" s="3" t="s">
        <v>28</v>
      </c>
      <c r="Q138" s="3" t="s">
        <v>29</v>
      </c>
      <c r="R138" s="3" t="s">
        <v>32</v>
      </c>
      <c r="S138" s="3" t="s">
        <v>28</v>
      </c>
      <c r="T138" s="3" t="s">
        <v>31</v>
      </c>
      <c r="U138" s="3" t="s">
        <v>31</v>
      </c>
      <c r="V138" s="3" t="s">
        <v>30</v>
      </c>
      <c r="W138" s="3" t="s">
        <v>29</v>
      </c>
      <c r="X138" s="3" t="s">
        <v>31</v>
      </c>
      <c r="Y138" s="3" t="s">
        <v>28</v>
      </c>
      <c r="Z138" s="3" t="s">
        <v>30</v>
      </c>
      <c r="AA138" s="3" t="s">
        <v>28</v>
      </c>
    </row>
    <row r="139" ht="15.75" customHeight="1">
      <c r="A139" s="7">
        <v>26.0</v>
      </c>
      <c r="B139" s="2" t="s">
        <v>258</v>
      </c>
      <c r="C139" s="3" t="s">
        <v>309</v>
      </c>
      <c r="D139" s="8" t="s">
        <v>310</v>
      </c>
      <c r="E139" s="9"/>
      <c r="F139" s="5">
        <f t="shared" si="1"/>
        <v>0</v>
      </c>
      <c r="G139" s="8" t="s">
        <v>309</v>
      </c>
      <c r="H139" s="3" t="s">
        <v>29</v>
      </c>
      <c r="I139" s="3" t="s">
        <v>28</v>
      </c>
      <c r="J139" s="3" t="s">
        <v>28</v>
      </c>
      <c r="K139" s="3" t="s">
        <v>28</v>
      </c>
      <c r="L139" s="3" t="s">
        <v>29</v>
      </c>
      <c r="M139" s="3" t="s">
        <v>29</v>
      </c>
      <c r="N139" s="3" t="s">
        <v>31</v>
      </c>
      <c r="O139" s="3" t="s">
        <v>31</v>
      </c>
      <c r="P139" s="3" t="s">
        <v>28</v>
      </c>
      <c r="Q139" s="3" t="s">
        <v>30</v>
      </c>
      <c r="R139" s="3" t="s">
        <v>32</v>
      </c>
      <c r="S139" s="3" t="s">
        <v>28</v>
      </c>
      <c r="T139" s="3" t="s">
        <v>31</v>
      </c>
      <c r="U139" s="3" t="s">
        <v>28</v>
      </c>
      <c r="V139" s="3" t="s">
        <v>31</v>
      </c>
      <c r="W139" s="3" t="s">
        <v>31</v>
      </c>
      <c r="X139" s="3" t="s">
        <v>28</v>
      </c>
      <c r="Y139" s="3" t="s">
        <v>32</v>
      </c>
      <c r="Z139" s="3" t="s">
        <v>28</v>
      </c>
      <c r="AA139" s="3" t="s">
        <v>31</v>
      </c>
    </row>
    <row r="140" ht="15.75" customHeight="1">
      <c r="A140" s="7">
        <v>27.0</v>
      </c>
      <c r="B140" s="2" t="s">
        <v>258</v>
      </c>
      <c r="C140" s="3" t="s">
        <v>311</v>
      </c>
      <c r="D140" s="8" t="s">
        <v>312</v>
      </c>
      <c r="E140" s="9"/>
      <c r="F140" s="5">
        <f t="shared" si="1"/>
        <v>0</v>
      </c>
      <c r="G140" s="8" t="s">
        <v>311</v>
      </c>
      <c r="H140" s="3" t="s">
        <v>30</v>
      </c>
      <c r="I140" s="3" t="s">
        <v>28</v>
      </c>
      <c r="J140" s="3" t="s">
        <v>31</v>
      </c>
      <c r="K140" s="3" t="s">
        <v>28</v>
      </c>
      <c r="L140" s="3" t="s">
        <v>29</v>
      </c>
      <c r="M140" s="3" t="s">
        <v>29</v>
      </c>
      <c r="N140" s="3" t="s">
        <v>28</v>
      </c>
      <c r="O140" s="3" t="s">
        <v>28</v>
      </c>
      <c r="P140" s="3" t="s">
        <v>28</v>
      </c>
      <c r="Q140" s="3" t="s">
        <v>30</v>
      </c>
      <c r="R140" s="3" t="s">
        <v>32</v>
      </c>
      <c r="S140" s="3" t="s">
        <v>28</v>
      </c>
      <c r="T140" s="3" t="s">
        <v>31</v>
      </c>
      <c r="U140" s="3" t="s">
        <v>30</v>
      </c>
      <c r="V140" s="3" t="s">
        <v>31</v>
      </c>
      <c r="W140" s="3" t="s">
        <v>28</v>
      </c>
      <c r="X140" s="3" t="s">
        <v>28</v>
      </c>
      <c r="Y140" s="3" t="s">
        <v>32</v>
      </c>
      <c r="Z140" s="3" t="s">
        <v>29</v>
      </c>
      <c r="AA140" s="3" t="s">
        <v>30</v>
      </c>
    </row>
    <row r="141" ht="15.75" customHeight="1">
      <c r="A141" s="7">
        <v>28.0</v>
      </c>
      <c r="B141" s="2" t="s">
        <v>258</v>
      </c>
      <c r="C141" s="3" t="s">
        <v>313</v>
      </c>
      <c r="D141" s="8" t="s">
        <v>314</v>
      </c>
      <c r="E141" s="9"/>
      <c r="F141" s="5">
        <f t="shared" si="1"/>
        <v>0</v>
      </c>
      <c r="G141" s="8" t="s">
        <v>313</v>
      </c>
      <c r="H141" s="3" t="s">
        <v>29</v>
      </c>
      <c r="I141" s="3" t="s">
        <v>28</v>
      </c>
      <c r="J141" s="3" t="s">
        <v>31</v>
      </c>
      <c r="K141" s="3" t="s">
        <v>28</v>
      </c>
      <c r="L141" s="3" t="s">
        <v>30</v>
      </c>
      <c r="M141" s="3" t="s">
        <v>29</v>
      </c>
      <c r="N141" s="3" t="s">
        <v>30</v>
      </c>
      <c r="O141" s="3" t="s">
        <v>28</v>
      </c>
      <c r="P141" s="3" t="s">
        <v>31</v>
      </c>
      <c r="Q141" s="3" t="s">
        <v>28</v>
      </c>
      <c r="R141" s="3" t="s">
        <v>32</v>
      </c>
      <c r="S141" s="3" t="s">
        <v>28</v>
      </c>
      <c r="T141" s="3" t="s">
        <v>30</v>
      </c>
      <c r="U141" s="3" t="s">
        <v>28</v>
      </c>
      <c r="V141" s="3" t="s">
        <v>31</v>
      </c>
      <c r="W141" s="3" t="s">
        <v>31</v>
      </c>
      <c r="X141" s="3" t="s">
        <v>31</v>
      </c>
      <c r="Y141" s="3" t="s">
        <v>31</v>
      </c>
      <c r="Z141" s="3" t="s">
        <v>31</v>
      </c>
      <c r="AA141" s="3" t="s">
        <v>31</v>
      </c>
    </row>
    <row r="142" ht="15.75" customHeight="1">
      <c r="A142" s="7">
        <v>29.0</v>
      </c>
      <c r="B142" s="2" t="s">
        <v>258</v>
      </c>
      <c r="C142" s="3" t="s">
        <v>315</v>
      </c>
      <c r="D142" s="10" t="s">
        <v>316</v>
      </c>
      <c r="E142" s="9"/>
      <c r="F142" s="5">
        <f t="shared" si="1"/>
        <v>0</v>
      </c>
      <c r="G142" s="8" t="s">
        <v>315</v>
      </c>
      <c r="H142" s="3" t="s">
        <v>32</v>
      </c>
      <c r="I142" s="3" t="s">
        <v>29</v>
      </c>
      <c r="J142" s="3" t="s">
        <v>32</v>
      </c>
      <c r="K142" s="3" t="s">
        <v>28</v>
      </c>
      <c r="L142" s="3" t="s">
        <v>31</v>
      </c>
      <c r="M142" s="3" t="s">
        <v>31</v>
      </c>
      <c r="N142" s="3" t="s">
        <v>29</v>
      </c>
      <c r="O142" s="3" t="s">
        <v>31</v>
      </c>
      <c r="P142" s="3" t="s">
        <v>28</v>
      </c>
      <c r="Q142" s="3" t="s">
        <v>30</v>
      </c>
      <c r="R142" s="3" t="s">
        <v>32</v>
      </c>
      <c r="S142" s="3" t="s">
        <v>28</v>
      </c>
      <c r="T142" s="3" t="s">
        <v>30</v>
      </c>
      <c r="U142" s="3" t="s">
        <v>29</v>
      </c>
      <c r="V142" s="3" t="s">
        <v>30</v>
      </c>
      <c r="W142" s="3" t="s">
        <v>32</v>
      </c>
      <c r="X142" s="3" t="s">
        <v>31</v>
      </c>
      <c r="Y142" s="3" t="s">
        <v>31</v>
      </c>
      <c r="Z142" s="3" t="s">
        <v>32</v>
      </c>
      <c r="AA142" s="3" t="s">
        <v>28</v>
      </c>
    </row>
    <row r="143" ht="15.75" customHeight="1">
      <c r="A143" s="7">
        <v>30.0</v>
      </c>
      <c r="B143" s="2" t="s">
        <v>258</v>
      </c>
      <c r="C143" s="3" t="s">
        <v>317</v>
      </c>
      <c r="D143" s="8" t="s">
        <v>318</v>
      </c>
      <c r="E143" s="9"/>
      <c r="F143" s="5">
        <f t="shared" si="1"/>
        <v>0</v>
      </c>
      <c r="G143" s="8" t="s">
        <v>317</v>
      </c>
      <c r="H143" s="3" t="s">
        <v>28</v>
      </c>
      <c r="I143" s="3" t="s">
        <v>29</v>
      </c>
      <c r="J143" s="3" t="s">
        <v>31</v>
      </c>
      <c r="K143" s="3" t="s">
        <v>32</v>
      </c>
      <c r="L143" s="3" t="s">
        <v>30</v>
      </c>
      <c r="M143" s="3" t="s">
        <v>28</v>
      </c>
      <c r="N143" s="3" t="s">
        <v>31</v>
      </c>
      <c r="O143" s="3" t="s">
        <v>28</v>
      </c>
      <c r="P143" s="3" t="s">
        <v>29</v>
      </c>
      <c r="Q143" s="3" t="s">
        <v>29</v>
      </c>
      <c r="R143" s="3" t="s">
        <v>32</v>
      </c>
      <c r="S143" s="3" t="s">
        <v>28</v>
      </c>
      <c r="T143" s="3" t="s">
        <v>31</v>
      </c>
      <c r="U143" s="3" t="s">
        <v>31</v>
      </c>
      <c r="V143" s="3" t="s">
        <v>30</v>
      </c>
      <c r="W143" s="3" t="s">
        <v>29</v>
      </c>
      <c r="X143" s="3" t="s">
        <v>31</v>
      </c>
      <c r="Y143" s="3" t="s">
        <v>28</v>
      </c>
      <c r="Z143" s="3" t="s">
        <v>29</v>
      </c>
      <c r="AA143" s="3" t="s">
        <v>31</v>
      </c>
    </row>
    <row r="144" ht="15.75" customHeight="1">
      <c r="A144" s="7">
        <v>31.0</v>
      </c>
      <c r="B144" s="2" t="s">
        <v>258</v>
      </c>
      <c r="C144" s="3" t="s">
        <v>319</v>
      </c>
      <c r="D144" s="8" t="s">
        <v>320</v>
      </c>
      <c r="E144" s="9"/>
      <c r="F144" s="5">
        <f t="shared" si="1"/>
        <v>0</v>
      </c>
      <c r="G144" s="8" t="s">
        <v>319</v>
      </c>
      <c r="H144" s="3" t="s">
        <v>31</v>
      </c>
      <c r="I144" s="3" t="s">
        <v>28</v>
      </c>
      <c r="J144" s="3" t="s">
        <v>30</v>
      </c>
      <c r="K144" s="3" t="s">
        <v>32</v>
      </c>
      <c r="L144" s="3" t="s">
        <v>32</v>
      </c>
      <c r="M144" s="3" t="s">
        <v>31</v>
      </c>
      <c r="N144" s="3" t="s">
        <v>32</v>
      </c>
      <c r="O144" s="3" t="s">
        <v>31</v>
      </c>
      <c r="P144" s="3" t="s">
        <v>29</v>
      </c>
      <c r="Q144" s="3" t="s">
        <v>29</v>
      </c>
      <c r="R144" s="3" t="s">
        <v>31</v>
      </c>
      <c r="S144" s="3" t="s">
        <v>28</v>
      </c>
      <c r="T144" s="3" t="s">
        <v>31</v>
      </c>
      <c r="U144" s="3" t="s">
        <v>28</v>
      </c>
      <c r="V144" s="3" t="s">
        <v>29</v>
      </c>
      <c r="W144" s="3" t="s">
        <v>31</v>
      </c>
      <c r="X144" s="3" t="s">
        <v>31</v>
      </c>
      <c r="Y144" s="3" t="s">
        <v>28</v>
      </c>
      <c r="Z144" s="3" t="s">
        <v>31</v>
      </c>
      <c r="AA144" s="3" t="s">
        <v>32</v>
      </c>
    </row>
    <row r="145" ht="15.75" customHeight="1">
      <c r="A145" s="7">
        <v>32.0</v>
      </c>
      <c r="B145" s="2" t="s">
        <v>258</v>
      </c>
      <c r="C145" s="3" t="s">
        <v>321</v>
      </c>
      <c r="D145" s="8" t="s">
        <v>322</v>
      </c>
      <c r="E145" s="9"/>
      <c r="F145" s="5">
        <f t="shared" si="1"/>
        <v>0</v>
      </c>
      <c r="G145" s="8" t="s">
        <v>321</v>
      </c>
      <c r="H145" s="3" t="s">
        <v>28</v>
      </c>
      <c r="I145" s="3" t="s">
        <v>28</v>
      </c>
      <c r="J145" s="3" t="s">
        <v>29</v>
      </c>
      <c r="K145" s="3" t="s">
        <v>28</v>
      </c>
      <c r="L145" s="3" t="s">
        <v>28</v>
      </c>
      <c r="M145" s="3" t="s">
        <v>29</v>
      </c>
      <c r="N145" s="3" t="s">
        <v>31</v>
      </c>
      <c r="O145" s="3" t="s">
        <v>31</v>
      </c>
      <c r="P145" s="3" t="s">
        <v>28</v>
      </c>
      <c r="Q145" s="3" t="s">
        <v>30</v>
      </c>
      <c r="R145" s="3" t="s">
        <v>32</v>
      </c>
      <c r="S145" s="3" t="s">
        <v>28</v>
      </c>
      <c r="T145" s="3" t="s">
        <v>31</v>
      </c>
      <c r="U145" s="3" t="s">
        <v>30</v>
      </c>
      <c r="V145" s="3" t="s">
        <v>30</v>
      </c>
      <c r="W145" s="3" t="s">
        <v>29</v>
      </c>
      <c r="X145" s="3" t="s">
        <v>31</v>
      </c>
      <c r="Y145" s="3" t="s">
        <v>28</v>
      </c>
      <c r="Z145" s="3" t="s">
        <v>31</v>
      </c>
      <c r="AA145" s="3" t="s">
        <v>28</v>
      </c>
    </row>
    <row r="146" ht="15.75" customHeight="1">
      <c r="A146" s="7">
        <v>33.0</v>
      </c>
      <c r="B146" s="2" t="s">
        <v>258</v>
      </c>
      <c r="C146" s="3" t="s">
        <v>323</v>
      </c>
      <c r="D146" s="8" t="s">
        <v>324</v>
      </c>
      <c r="E146" s="9"/>
      <c r="F146" s="5">
        <f t="shared" si="1"/>
        <v>0</v>
      </c>
      <c r="G146" s="8" t="s">
        <v>323</v>
      </c>
      <c r="H146" s="3" t="s">
        <v>29</v>
      </c>
      <c r="I146" s="3" t="s">
        <v>28</v>
      </c>
      <c r="J146" s="3" t="s">
        <v>29</v>
      </c>
      <c r="K146" s="3" t="s">
        <v>28</v>
      </c>
      <c r="L146" s="3" t="s">
        <v>28</v>
      </c>
      <c r="M146" s="3" t="s">
        <v>29</v>
      </c>
      <c r="N146" s="3" t="s">
        <v>31</v>
      </c>
      <c r="O146" s="3" t="s">
        <v>31</v>
      </c>
      <c r="P146" s="3" t="s">
        <v>28</v>
      </c>
      <c r="Q146" s="3" t="s">
        <v>32</v>
      </c>
      <c r="R146" s="3" t="s">
        <v>32</v>
      </c>
      <c r="S146" s="3" t="s">
        <v>28</v>
      </c>
      <c r="T146" s="3" t="s">
        <v>31</v>
      </c>
      <c r="U146" s="3" t="s">
        <v>31</v>
      </c>
      <c r="V146" s="3" t="s">
        <v>30</v>
      </c>
      <c r="W146" s="3" t="s">
        <v>28</v>
      </c>
      <c r="X146" s="3" t="s">
        <v>31</v>
      </c>
      <c r="Y146" s="3" t="s">
        <v>28</v>
      </c>
      <c r="Z146" s="3" t="s">
        <v>31</v>
      </c>
      <c r="AA146" s="3" t="s">
        <v>32</v>
      </c>
    </row>
    <row r="147" ht="15.75" customHeight="1">
      <c r="A147" s="7">
        <v>34.0</v>
      </c>
      <c r="B147" s="2" t="s">
        <v>258</v>
      </c>
      <c r="C147" s="3" t="s">
        <v>325</v>
      </c>
      <c r="D147" s="10" t="s">
        <v>326</v>
      </c>
      <c r="E147" s="9"/>
      <c r="F147" s="5">
        <f t="shared" si="1"/>
        <v>0</v>
      </c>
      <c r="G147" s="8" t="s">
        <v>325</v>
      </c>
      <c r="H147" s="3" t="s">
        <v>29</v>
      </c>
      <c r="I147" s="3" t="s">
        <v>28</v>
      </c>
      <c r="J147" s="3" t="s">
        <v>31</v>
      </c>
      <c r="K147" s="3" t="s">
        <v>28</v>
      </c>
      <c r="L147" s="3" t="s">
        <v>32</v>
      </c>
      <c r="M147" s="3" t="s">
        <v>28</v>
      </c>
      <c r="N147" s="3" t="s">
        <v>31</v>
      </c>
      <c r="O147" s="3" t="s">
        <v>28</v>
      </c>
      <c r="P147" s="3" t="s">
        <v>28</v>
      </c>
      <c r="Q147" s="3" t="s">
        <v>30</v>
      </c>
      <c r="R147" s="3" t="s">
        <v>31</v>
      </c>
      <c r="S147" s="3" t="s">
        <v>30</v>
      </c>
      <c r="T147" s="3" t="s">
        <v>30</v>
      </c>
      <c r="U147" s="3" t="s">
        <v>31</v>
      </c>
      <c r="V147" s="3" t="s">
        <v>31</v>
      </c>
      <c r="W147" s="3" t="s">
        <v>30</v>
      </c>
      <c r="X147" s="3" t="s">
        <v>28</v>
      </c>
      <c r="Y147" s="3" t="s">
        <v>28</v>
      </c>
      <c r="Z147" s="3" t="s">
        <v>32</v>
      </c>
      <c r="AA147" s="3" t="s">
        <v>30</v>
      </c>
    </row>
    <row r="148" ht="15.75" customHeight="1">
      <c r="A148" s="12">
        <v>35.0</v>
      </c>
      <c r="B148" s="13" t="s">
        <v>258</v>
      </c>
      <c r="C148" s="14" t="s">
        <v>327</v>
      </c>
      <c r="D148" s="15" t="s">
        <v>328</v>
      </c>
      <c r="E148" s="16"/>
      <c r="F148" s="17">
        <f t="shared" si="1"/>
        <v>0</v>
      </c>
      <c r="G148" s="15" t="s">
        <v>327</v>
      </c>
      <c r="H148" s="14" t="s">
        <v>30</v>
      </c>
      <c r="I148" s="14" t="s">
        <v>28</v>
      </c>
      <c r="J148" s="14" t="s">
        <v>29</v>
      </c>
      <c r="K148" s="14" t="s">
        <v>28</v>
      </c>
      <c r="L148" s="14" t="s">
        <v>31</v>
      </c>
      <c r="M148" s="14" t="s">
        <v>30</v>
      </c>
      <c r="N148" s="14" t="s">
        <v>31</v>
      </c>
      <c r="O148" s="14" t="s">
        <v>28</v>
      </c>
      <c r="P148" s="14" t="s">
        <v>28</v>
      </c>
      <c r="Q148" s="14" t="s">
        <v>30</v>
      </c>
      <c r="R148" s="14" t="s">
        <v>32</v>
      </c>
      <c r="S148" s="14" t="s">
        <v>29</v>
      </c>
      <c r="T148" s="14" t="s">
        <v>31</v>
      </c>
      <c r="U148" s="14" t="s">
        <v>32</v>
      </c>
      <c r="V148" s="14" t="s">
        <v>30</v>
      </c>
      <c r="W148" s="14" t="s">
        <v>30</v>
      </c>
      <c r="X148" s="14" t="s">
        <v>32</v>
      </c>
      <c r="Y148" s="14" t="s">
        <v>28</v>
      </c>
      <c r="Z148" s="14" t="s">
        <v>31</v>
      </c>
      <c r="AA148" s="14" t="s">
        <v>30</v>
      </c>
    </row>
    <row r="149" ht="15.75" customHeight="1">
      <c r="A149" s="7"/>
      <c r="B149" s="2"/>
      <c r="C149" s="2"/>
      <c r="D149" s="9"/>
      <c r="E149" s="9"/>
      <c r="F149" s="6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7"/>
      <c r="B150" s="2"/>
      <c r="C150" s="2"/>
      <c r="D150" s="9"/>
      <c r="E150" s="9"/>
      <c r="F150" s="6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7"/>
      <c r="B151" s="2"/>
      <c r="C151" s="2"/>
      <c r="D151" s="9"/>
      <c r="E151" s="9"/>
      <c r="F151" s="6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7"/>
      <c r="B152" s="2"/>
      <c r="C152" s="2"/>
      <c r="D152" s="9"/>
      <c r="E152" s="9"/>
      <c r="F152" s="6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19"/>
      <c r="B153" s="19"/>
      <c r="C153" s="19"/>
      <c r="D153" s="19"/>
      <c r="E153" s="4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9"/>
      <c r="B154" s="19"/>
      <c r="C154" s="19"/>
      <c r="D154" s="19"/>
      <c r="E154" s="4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19"/>
      <c r="B155" s="19"/>
      <c r="C155" s="19"/>
      <c r="D155" s="19"/>
      <c r="E155" s="4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9"/>
      <c r="B156" s="19"/>
      <c r="C156" s="19"/>
      <c r="D156" s="19"/>
      <c r="E156" s="4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9"/>
      <c r="B157" s="19"/>
      <c r="C157" s="19"/>
      <c r="D157" s="19"/>
      <c r="E157" s="4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9"/>
      <c r="B158" s="19"/>
      <c r="C158" s="19"/>
      <c r="D158" s="19"/>
      <c r="E158" s="4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9"/>
      <c r="B159" s="19"/>
      <c r="C159" s="19"/>
      <c r="D159" s="19"/>
      <c r="E159" s="4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9"/>
      <c r="B160" s="19"/>
      <c r="C160" s="19"/>
      <c r="D160" s="19"/>
      <c r="E160" s="4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19"/>
      <c r="B161" s="2"/>
      <c r="C161" s="2"/>
      <c r="D161" s="9"/>
      <c r="E161" s="4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9"/>
      <c r="B162" s="2"/>
      <c r="C162" s="2"/>
      <c r="D162" s="9"/>
      <c r="E162" s="4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9"/>
      <c r="B163" s="2"/>
      <c r="C163" s="2"/>
      <c r="D163" s="9"/>
      <c r="E163" s="4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9"/>
      <c r="B164" s="2"/>
      <c r="C164" s="2"/>
      <c r="D164" s="9"/>
      <c r="E164" s="4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9"/>
      <c r="B165" s="2"/>
      <c r="C165" s="2"/>
      <c r="D165" s="9"/>
      <c r="E165" s="4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9"/>
      <c r="B166" s="2"/>
      <c r="C166" s="2"/>
      <c r="D166" s="9"/>
      <c r="E166" s="4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19"/>
      <c r="B167" s="2"/>
      <c r="C167" s="2"/>
      <c r="D167" s="9"/>
      <c r="E167" s="4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9"/>
      <c r="B168" s="2"/>
      <c r="C168" s="2"/>
      <c r="D168" s="9"/>
      <c r="E168" s="4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9"/>
      <c r="B169" s="2"/>
      <c r="C169" s="2"/>
      <c r="D169" s="9"/>
      <c r="E169" s="4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19"/>
      <c r="B170" s="2"/>
      <c r="C170" s="2"/>
      <c r="D170" s="9"/>
      <c r="E170" s="4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19"/>
      <c r="B171" s="2"/>
      <c r="C171" s="2"/>
      <c r="D171" s="9"/>
      <c r="E171" s="4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19"/>
      <c r="B172" s="2"/>
      <c r="C172" s="2"/>
      <c r="D172" s="9"/>
      <c r="E172" s="4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19"/>
      <c r="B173" s="2"/>
      <c r="C173" s="2"/>
      <c r="D173" s="9"/>
      <c r="E173" s="4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9"/>
      <c r="B174" s="2"/>
      <c r="C174" s="2"/>
      <c r="D174" s="9"/>
      <c r="E174" s="4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9"/>
      <c r="B175" s="2"/>
      <c r="C175" s="2"/>
      <c r="D175" s="9"/>
      <c r="E175" s="4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9"/>
      <c r="B176" s="2"/>
      <c r="C176" s="2"/>
      <c r="D176" s="9"/>
      <c r="E176" s="4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9"/>
      <c r="B177" s="2"/>
      <c r="C177" s="2"/>
      <c r="D177" s="9"/>
      <c r="E177" s="4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9"/>
      <c r="B178" s="2"/>
      <c r="C178" s="2"/>
      <c r="D178" s="9"/>
      <c r="E178" s="4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9"/>
      <c r="B179" s="2"/>
      <c r="C179" s="2"/>
      <c r="D179" s="9"/>
      <c r="E179" s="4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9"/>
      <c r="B180" s="2"/>
      <c r="C180" s="2"/>
      <c r="D180" s="9"/>
      <c r="E180" s="4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9"/>
      <c r="B181" s="2"/>
      <c r="C181" s="2"/>
      <c r="D181" s="9"/>
      <c r="E181" s="4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9"/>
      <c r="B182" s="2"/>
      <c r="C182" s="2"/>
      <c r="D182" s="9"/>
      <c r="E182" s="4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9"/>
      <c r="B183" s="2"/>
      <c r="C183" s="2"/>
      <c r="D183" s="9"/>
      <c r="E183" s="4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9"/>
      <c r="B184" s="2"/>
      <c r="C184" s="2"/>
      <c r="D184" s="9"/>
      <c r="E184" s="4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9"/>
      <c r="B185" s="2"/>
      <c r="C185" s="2"/>
      <c r="D185" s="9"/>
      <c r="E185" s="4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9"/>
      <c r="B186" s="2"/>
      <c r="C186" s="2"/>
      <c r="D186" s="9"/>
      <c r="E186" s="4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9"/>
      <c r="B187" s="2"/>
      <c r="C187" s="2"/>
      <c r="D187" s="9"/>
      <c r="E187" s="4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19"/>
      <c r="B188" s="2"/>
      <c r="C188" s="2"/>
      <c r="D188" s="9"/>
      <c r="E188" s="4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9"/>
      <c r="B189" s="2"/>
      <c r="C189" s="2"/>
      <c r="D189" s="9"/>
      <c r="E189" s="4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19"/>
      <c r="B190" s="2"/>
      <c r="C190" s="2"/>
      <c r="D190" s="9"/>
      <c r="E190" s="4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9"/>
      <c r="B191" s="2"/>
      <c r="C191" s="2"/>
      <c r="D191" s="9"/>
      <c r="E191" s="4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19"/>
      <c r="B192" s="2"/>
      <c r="C192" s="2"/>
      <c r="D192" s="9"/>
      <c r="E192" s="4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9"/>
      <c r="B193" s="2"/>
      <c r="C193" s="2"/>
      <c r="D193" s="9"/>
      <c r="E193" s="4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19"/>
      <c r="B194" s="2"/>
      <c r="C194" s="2"/>
      <c r="D194" s="9"/>
      <c r="E194" s="4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9"/>
      <c r="B195" s="2"/>
      <c r="C195" s="2"/>
      <c r="D195" s="9"/>
      <c r="E195" s="4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19"/>
      <c r="B196" s="2"/>
      <c r="C196" s="2"/>
      <c r="D196" s="9"/>
      <c r="E196" s="4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9"/>
      <c r="B197" s="2"/>
      <c r="C197" s="2"/>
      <c r="D197" s="9"/>
      <c r="E197" s="4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19"/>
      <c r="B198" s="2"/>
      <c r="C198" s="2"/>
      <c r="D198" s="9"/>
      <c r="E198" s="4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9"/>
      <c r="B199" s="2"/>
      <c r="C199" s="2"/>
      <c r="D199" s="9"/>
      <c r="E199" s="4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19"/>
      <c r="B200" s="2"/>
      <c r="C200" s="2"/>
      <c r="D200" s="9"/>
      <c r="E200" s="4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19"/>
      <c r="B201" s="2"/>
      <c r="C201" s="2"/>
      <c r="D201" s="9"/>
      <c r="E201" s="4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19"/>
      <c r="B202" s="2"/>
      <c r="C202" s="2"/>
      <c r="D202" s="9"/>
      <c r="E202" s="4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0"/>
      <c r="B203" s="2"/>
      <c r="C203" s="2"/>
      <c r="D203" s="9"/>
      <c r="E203" s="4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0"/>
      <c r="B204" s="2"/>
      <c r="C204" s="2"/>
      <c r="D204" s="9"/>
      <c r="E204" s="4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0"/>
      <c r="B205" s="2"/>
      <c r="C205" s="2"/>
      <c r="D205" s="9"/>
      <c r="E205" s="4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0"/>
      <c r="B206" s="2"/>
      <c r="C206" s="2"/>
      <c r="D206" s="9"/>
      <c r="E206" s="4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0"/>
      <c r="B207" s="2"/>
      <c r="C207" s="2"/>
      <c r="D207" s="9"/>
      <c r="E207" s="4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0"/>
      <c r="B208" s="2"/>
      <c r="C208" s="2"/>
      <c r="D208" s="9"/>
      <c r="E208" s="4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0"/>
      <c r="B209" s="2"/>
      <c r="C209" s="2"/>
      <c r="D209" s="9"/>
      <c r="E209" s="4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0"/>
      <c r="B210" s="2"/>
      <c r="C210" s="2"/>
      <c r="D210" s="9"/>
      <c r="E210" s="4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0"/>
      <c r="B211" s="2"/>
      <c r="C211" s="2"/>
      <c r="D211" s="9"/>
      <c r="E211" s="4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0"/>
      <c r="B212" s="2"/>
      <c r="C212" s="2"/>
      <c r="D212" s="9"/>
      <c r="E212" s="4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0"/>
      <c r="B213" s="2"/>
      <c r="C213" s="2"/>
      <c r="D213" s="9"/>
      <c r="E213" s="4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0"/>
      <c r="B214" s="2"/>
      <c r="C214" s="2"/>
      <c r="D214" s="9"/>
      <c r="E214" s="4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0"/>
      <c r="B215" s="2"/>
      <c r="C215" s="2"/>
      <c r="D215" s="9"/>
      <c r="E215" s="4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0"/>
      <c r="B216" s="2"/>
      <c r="C216" s="2"/>
      <c r="D216" s="9"/>
      <c r="E216" s="4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0"/>
      <c r="B217" s="2"/>
      <c r="C217" s="2"/>
      <c r="D217" s="9"/>
      <c r="E217" s="4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0"/>
      <c r="B218" s="2"/>
      <c r="C218" s="2"/>
      <c r="D218" s="9"/>
      <c r="E218" s="4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0"/>
      <c r="B219" s="2"/>
      <c r="C219" s="2"/>
      <c r="D219" s="9"/>
      <c r="E219" s="4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0"/>
      <c r="B220" s="2"/>
      <c r="C220" s="2"/>
      <c r="D220" s="9"/>
      <c r="E220" s="4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0"/>
      <c r="B221" s="2"/>
      <c r="C221" s="2"/>
      <c r="D221" s="9"/>
      <c r="E221" s="4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0"/>
      <c r="B222" s="2"/>
      <c r="C222" s="2"/>
      <c r="D222" s="9"/>
      <c r="E222" s="4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0"/>
      <c r="B223" s="2"/>
      <c r="C223" s="2"/>
      <c r="D223" s="9"/>
      <c r="E223" s="4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0"/>
      <c r="B224" s="2"/>
      <c r="C224" s="2"/>
      <c r="D224" s="9"/>
      <c r="E224" s="4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0"/>
      <c r="B225" s="2"/>
      <c r="C225" s="2"/>
      <c r="D225" s="9"/>
      <c r="E225" s="4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0"/>
      <c r="B226" s="2"/>
      <c r="C226" s="2"/>
      <c r="D226" s="9"/>
      <c r="E226" s="4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0"/>
      <c r="B227" s="2"/>
      <c r="C227" s="2"/>
      <c r="D227" s="9"/>
      <c r="E227" s="4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0"/>
      <c r="B228" s="2"/>
      <c r="C228" s="2"/>
      <c r="D228" s="9"/>
      <c r="E228" s="4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0"/>
      <c r="B229" s="2"/>
      <c r="C229" s="2"/>
      <c r="D229" s="9"/>
      <c r="E229" s="4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0"/>
      <c r="B230" s="2"/>
      <c r="C230" s="2"/>
      <c r="D230" s="9"/>
      <c r="E230" s="4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0"/>
      <c r="B231" s="2"/>
      <c r="C231" s="2"/>
      <c r="D231" s="9"/>
      <c r="E231" s="4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0"/>
      <c r="B232" s="2"/>
      <c r="C232" s="2"/>
      <c r="D232" s="9"/>
      <c r="E232" s="4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0"/>
      <c r="B233" s="2"/>
      <c r="C233" s="2"/>
      <c r="D233" s="9"/>
      <c r="E233" s="4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0"/>
      <c r="B234" s="2"/>
      <c r="C234" s="2"/>
      <c r="D234" s="9"/>
      <c r="E234" s="4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0"/>
      <c r="B235" s="2"/>
      <c r="C235" s="2"/>
      <c r="D235" s="9"/>
      <c r="E235" s="4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0"/>
      <c r="B236" s="2"/>
      <c r="C236" s="2"/>
      <c r="D236" s="9"/>
      <c r="E236" s="4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0"/>
      <c r="B237" s="2"/>
      <c r="C237" s="2"/>
      <c r="D237" s="9"/>
      <c r="E237" s="4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0"/>
      <c r="B238" s="2"/>
      <c r="C238" s="2"/>
      <c r="D238" s="9"/>
      <c r="E238" s="4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0"/>
      <c r="B239" s="2"/>
      <c r="C239" s="2"/>
      <c r="D239" s="9"/>
      <c r="E239" s="4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0"/>
      <c r="B240" s="2"/>
      <c r="C240" s="2"/>
      <c r="D240" s="9"/>
      <c r="E240" s="4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0"/>
      <c r="B241" s="2"/>
      <c r="C241" s="2"/>
      <c r="D241" s="9"/>
      <c r="E241" s="4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0"/>
      <c r="B242" s="2"/>
      <c r="C242" s="2"/>
      <c r="D242" s="9"/>
      <c r="E242" s="4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0"/>
      <c r="B243" s="2"/>
      <c r="C243" s="2"/>
      <c r="D243" s="9"/>
      <c r="E243" s="4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0"/>
      <c r="B244" s="2"/>
      <c r="C244" s="2"/>
      <c r="D244" s="9"/>
      <c r="E244" s="4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0"/>
      <c r="B245" s="2"/>
      <c r="C245" s="2"/>
      <c r="D245" s="9"/>
      <c r="E245" s="4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0"/>
      <c r="B246" s="2"/>
      <c r="C246" s="2"/>
      <c r="D246" s="9"/>
      <c r="E246" s="4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0"/>
      <c r="B247" s="2"/>
      <c r="C247" s="2"/>
      <c r="D247" s="9"/>
      <c r="E247" s="4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0"/>
      <c r="B248" s="2"/>
      <c r="C248" s="2"/>
      <c r="D248" s="9"/>
      <c r="E248" s="4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0"/>
      <c r="B249" s="2"/>
      <c r="C249" s="2"/>
      <c r="D249" s="9"/>
      <c r="E249" s="4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0"/>
      <c r="B250" s="2"/>
      <c r="C250" s="2"/>
      <c r="D250" s="9"/>
      <c r="E250" s="4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0"/>
      <c r="B251" s="2"/>
      <c r="C251" s="2"/>
      <c r="D251" s="9"/>
      <c r="E251" s="4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0"/>
      <c r="B252" s="2"/>
      <c r="C252" s="2"/>
      <c r="D252" s="9"/>
      <c r="E252" s="4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0"/>
      <c r="B253" s="2"/>
      <c r="C253" s="2"/>
      <c r="D253" s="9"/>
      <c r="E253" s="4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0"/>
      <c r="B254" s="2"/>
      <c r="C254" s="2"/>
      <c r="D254" s="9"/>
      <c r="E254" s="4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0"/>
      <c r="B255" s="2"/>
      <c r="C255" s="2"/>
      <c r="D255" s="9"/>
      <c r="E255" s="4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0"/>
      <c r="B256" s="2"/>
      <c r="C256" s="2"/>
      <c r="D256" s="9"/>
      <c r="E256" s="4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0"/>
      <c r="B257" s="2"/>
      <c r="C257" s="2"/>
      <c r="D257" s="9"/>
      <c r="E257" s="4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0"/>
      <c r="B258" s="2"/>
      <c r="C258" s="2"/>
      <c r="D258" s="9"/>
      <c r="E258" s="4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0"/>
      <c r="B259" s="2"/>
      <c r="C259" s="2"/>
      <c r="D259" s="9"/>
      <c r="E259" s="4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0"/>
      <c r="B260" s="2"/>
      <c r="C260" s="2"/>
      <c r="D260" s="9"/>
      <c r="E260" s="4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0"/>
      <c r="B261" s="2"/>
      <c r="C261" s="2"/>
      <c r="D261" s="9"/>
      <c r="E261" s="4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0"/>
      <c r="B262" s="2"/>
      <c r="C262" s="2"/>
      <c r="D262" s="9"/>
      <c r="E262" s="4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0"/>
      <c r="B263" s="2"/>
      <c r="C263" s="2"/>
      <c r="D263" s="9"/>
      <c r="E263" s="4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0"/>
      <c r="B264" s="2"/>
      <c r="C264" s="2"/>
      <c r="D264" s="9"/>
      <c r="E264" s="4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0"/>
      <c r="B265" s="2"/>
      <c r="C265" s="2"/>
      <c r="D265" s="9"/>
      <c r="E265" s="4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0"/>
      <c r="B266" s="2"/>
      <c r="C266" s="2"/>
      <c r="D266" s="9"/>
      <c r="E266" s="4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0"/>
      <c r="B267" s="2"/>
      <c r="C267" s="2"/>
      <c r="D267" s="9"/>
      <c r="E267" s="4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0"/>
      <c r="B268" s="2"/>
      <c r="C268" s="2"/>
      <c r="D268" s="9"/>
      <c r="E268" s="4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0"/>
      <c r="B269" s="2"/>
      <c r="C269" s="2"/>
      <c r="D269" s="9"/>
      <c r="E269" s="4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0"/>
      <c r="B270" s="2"/>
      <c r="C270" s="2"/>
      <c r="D270" s="9"/>
      <c r="E270" s="4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0"/>
      <c r="B271" s="2"/>
      <c r="C271" s="2"/>
      <c r="D271" s="9"/>
      <c r="E271" s="4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0"/>
      <c r="B272" s="2"/>
      <c r="C272" s="2"/>
      <c r="D272" s="9"/>
      <c r="E272" s="4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0"/>
      <c r="B273" s="2"/>
      <c r="C273" s="2"/>
      <c r="D273" s="9"/>
      <c r="E273" s="4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0"/>
      <c r="B274" s="2"/>
      <c r="C274" s="2"/>
      <c r="D274" s="9"/>
      <c r="E274" s="4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0"/>
      <c r="B275" s="2"/>
      <c r="C275" s="2"/>
      <c r="D275" s="9"/>
      <c r="E275" s="4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0"/>
      <c r="B276" s="2"/>
      <c r="C276" s="2"/>
      <c r="D276" s="9"/>
      <c r="E276" s="4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0"/>
      <c r="B277" s="2"/>
      <c r="C277" s="2"/>
      <c r="D277" s="9"/>
      <c r="E277" s="4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0"/>
      <c r="B278" s="2"/>
      <c r="C278" s="2"/>
      <c r="D278" s="9"/>
      <c r="E278" s="4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0"/>
      <c r="B279" s="2"/>
      <c r="C279" s="2"/>
      <c r="D279" s="9"/>
      <c r="E279" s="4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0"/>
      <c r="B280" s="2"/>
      <c r="C280" s="2"/>
      <c r="D280" s="9"/>
      <c r="E280" s="4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0"/>
      <c r="B281" s="2"/>
      <c r="C281" s="2"/>
      <c r="D281" s="9"/>
      <c r="E281" s="4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0"/>
      <c r="B282" s="2"/>
      <c r="C282" s="2"/>
      <c r="D282" s="9"/>
      <c r="E282" s="4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0"/>
      <c r="B283" s="2"/>
      <c r="C283" s="2"/>
      <c r="D283" s="9"/>
      <c r="E283" s="4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0"/>
      <c r="B284" s="2"/>
      <c r="C284" s="2"/>
      <c r="D284" s="9"/>
      <c r="E284" s="4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0"/>
      <c r="B285" s="2"/>
      <c r="C285" s="2"/>
      <c r="D285" s="9"/>
      <c r="E285" s="4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0"/>
      <c r="B286" s="2"/>
      <c r="C286" s="2"/>
      <c r="D286" s="9"/>
      <c r="E286" s="4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0"/>
      <c r="B287" s="2"/>
      <c r="C287" s="2"/>
      <c r="D287" s="9"/>
      <c r="E287" s="4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0"/>
      <c r="B288" s="2"/>
      <c r="C288" s="2"/>
      <c r="D288" s="9"/>
      <c r="E288" s="4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0"/>
      <c r="B289" s="2"/>
      <c r="C289" s="2"/>
      <c r="D289" s="9"/>
      <c r="E289" s="4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0"/>
      <c r="B290" s="2"/>
      <c r="C290" s="2"/>
      <c r="D290" s="9"/>
      <c r="E290" s="4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0"/>
      <c r="B291" s="2"/>
      <c r="C291" s="2"/>
      <c r="D291" s="9"/>
      <c r="E291" s="4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0"/>
      <c r="B292" s="2"/>
      <c r="C292" s="2"/>
      <c r="D292" s="9"/>
      <c r="E292" s="4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0"/>
      <c r="B293" s="2"/>
      <c r="C293" s="2"/>
      <c r="D293" s="9"/>
      <c r="E293" s="4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0"/>
      <c r="B294" s="2"/>
      <c r="C294" s="2"/>
      <c r="D294" s="9"/>
      <c r="E294" s="4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0"/>
      <c r="B295" s="2"/>
      <c r="C295" s="2"/>
      <c r="D295" s="9"/>
      <c r="E295" s="4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0"/>
      <c r="B296" s="2"/>
      <c r="C296" s="2"/>
      <c r="D296" s="9"/>
      <c r="E296" s="4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0"/>
      <c r="B297" s="2"/>
      <c r="C297" s="2"/>
      <c r="D297" s="9"/>
      <c r="E297" s="4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0"/>
      <c r="B298" s="2"/>
      <c r="C298" s="2"/>
      <c r="D298" s="9"/>
      <c r="E298" s="4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0"/>
      <c r="B299" s="2"/>
      <c r="C299" s="2"/>
      <c r="D299" s="9"/>
      <c r="E299" s="4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0"/>
      <c r="B300" s="2"/>
      <c r="C300" s="2"/>
      <c r="D300" s="9"/>
      <c r="E300" s="4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0"/>
      <c r="B301" s="2"/>
      <c r="C301" s="2"/>
      <c r="D301" s="9"/>
      <c r="E301" s="4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0"/>
      <c r="B302" s="2"/>
      <c r="C302" s="2"/>
      <c r="D302" s="9"/>
      <c r="E302" s="4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0"/>
      <c r="B303" s="2"/>
      <c r="C303" s="2"/>
      <c r="D303" s="9"/>
      <c r="E303" s="4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0"/>
      <c r="B304" s="2"/>
      <c r="C304" s="2"/>
      <c r="D304" s="9"/>
      <c r="E304" s="4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0"/>
      <c r="B305" s="2"/>
      <c r="C305" s="2"/>
      <c r="D305" s="9"/>
      <c r="E305" s="4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0"/>
      <c r="B306" s="2"/>
      <c r="C306" s="2"/>
      <c r="D306" s="9"/>
      <c r="E306" s="4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0"/>
      <c r="B307" s="2"/>
      <c r="C307" s="2"/>
      <c r="D307" s="9"/>
      <c r="E307" s="4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0"/>
      <c r="B308" s="2"/>
      <c r="C308" s="2"/>
      <c r="D308" s="9"/>
      <c r="E308" s="4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0"/>
      <c r="B309" s="2"/>
      <c r="C309" s="2"/>
      <c r="D309" s="9"/>
      <c r="E309" s="4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0"/>
      <c r="B310" s="2"/>
      <c r="C310" s="2"/>
      <c r="D310" s="9"/>
      <c r="E310" s="4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0"/>
      <c r="B311" s="2"/>
      <c r="C311" s="2"/>
      <c r="D311" s="9"/>
      <c r="E311" s="4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0"/>
      <c r="B312" s="2"/>
      <c r="C312" s="2"/>
      <c r="D312" s="9"/>
      <c r="E312" s="4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0"/>
      <c r="B313" s="2"/>
      <c r="C313" s="2"/>
      <c r="D313" s="9"/>
      <c r="E313" s="4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0"/>
      <c r="B314" s="2"/>
      <c r="C314" s="2"/>
      <c r="D314" s="9"/>
      <c r="E314" s="4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0"/>
      <c r="B315" s="2"/>
      <c r="C315" s="2"/>
      <c r="D315" s="9"/>
      <c r="E315" s="4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0"/>
      <c r="B316" s="2"/>
      <c r="C316" s="2"/>
      <c r="D316" s="9"/>
      <c r="E316" s="4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0"/>
      <c r="B317" s="2"/>
      <c r="C317" s="2"/>
      <c r="D317" s="9"/>
      <c r="E317" s="4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0"/>
      <c r="B318" s="2"/>
      <c r="C318" s="2"/>
      <c r="D318" s="9"/>
      <c r="E318" s="4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0"/>
      <c r="B319" s="2"/>
      <c r="C319" s="2"/>
      <c r="D319" s="9"/>
      <c r="E319" s="4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0"/>
      <c r="B320" s="2"/>
      <c r="C320" s="2"/>
      <c r="D320" s="9"/>
      <c r="E320" s="4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0"/>
      <c r="B321" s="2"/>
      <c r="C321" s="2"/>
      <c r="D321" s="9"/>
      <c r="E321" s="4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0"/>
      <c r="B322" s="2"/>
      <c r="C322" s="2"/>
      <c r="D322" s="9"/>
      <c r="E322" s="4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0"/>
      <c r="B323" s="2"/>
      <c r="C323" s="2"/>
      <c r="D323" s="9"/>
      <c r="E323" s="4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0"/>
      <c r="B324" s="2"/>
      <c r="C324" s="2"/>
      <c r="D324" s="9"/>
      <c r="E324" s="4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0"/>
      <c r="B325" s="2"/>
      <c r="C325" s="2"/>
      <c r="D325" s="9"/>
      <c r="E325" s="4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0"/>
      <c r="B326" s="2"/>
      <c r="C326" s="2"/>
      <c r="D326" s="9"/>
      <c r="E326" s="4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0"/>
      <c r="B327" s="2"/>
      <c r="C327" s="2"/>
      <c r="D327" s="9"/>
      <c r="E327" s="4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0"/>
      <c r="B328" s="2"/>
      <c r="C328" s="2"/>
      <c r="D328" s="9"/>
      <c r="E328" s="4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0"/>
      <c r="B329" s="2"/>
      <c r="C329" s="2"/>
      <c r="D329" s="9"/>
      <c r="E329" s="4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0"/>
      <c r="B330" s="2"/>
      <c r="C330" s="2"/>
      <c r="D330" s="9"/>
      <c r="E330" s="4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0"/>
      <c r="B331" s="2"/>
      <c r="C331" s="2"/>
      <c r="D331" s="9"/>
      <c r="E331" s="4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0"/>
      <c r="B332" s="2"/>
      <c r="C332" s="2"/>
      <c r="D332" s="9"/>
      <c r="E332" s="4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0"/>
      <c r="B333" s="2"/>
      <c r="C333" s="2"/>
      <c r="D333" s="9"/>
      <c r="E333" s="4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0"/>
      <c r="B334" s="2"/>
      <c r="C334" s="2"/>
      <c r="D334" s="9"/>
      <c r="E334" s="4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0"/>
      <c r="B335" s="2"/>
      <c r="C335" s="2"/>
      <c r="D335" s="9"/>
      <c r="E335" s="4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0"/>
      <c r="B336" s="2"/>
      <c r="C336" s="2"/>
      <c r="D336" s="9"/>
      <c r="E336" s="4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0"/>
      <c r="B337" s="2"/>
      <c r="C337" s="2"/>
      <c r="D337" s="9"/>
      <c r="E337" s="4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0"/>
      <c r="B338" s="2"/>
      <c r="C338" s="2"/>
      <c r="D338" s="9"/>
      <c r="E338" s="4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0"/>
      <c r="B339" s="2"/>
      <c r="C339" s="2"/>
      <c r="D339" s="9"/>
      <c r="E339" s="4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0"/>
      <c r="B340" s="2"/>
      <c r="C340" s="2"/>
      <c r="D340" s="9"/>
      <c r="E340" s="4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0"/>
      <c r="B341" s="2"/>
      <c r="C341" s="2"/>
      <c r="D341" s="9"/>
      <c r="E341" s="4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0"/>
      <c r="B342" s="2"/>
      <c r="C342" s="2"/>
      <c r="D342" s="9"/>
      <c r="E342" s="4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0"/>
      <c r="B343" s="2"/>
      <c r="C343" s="2"/>
      <c r="D343" s="9"/>
      <c r="E343" s="4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0"/>
      <c r="B344" s="2"/>
      <c r="C344" s="2"/>
      <c r="D344" s="9"/>
      <c r="E344" s="4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0"/>
      <c r="B345" s="2"/>
      <c r="C345" s="2"/>
      <c r="D345" s="9"/>
      <c r="E345" s="4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0"/>
      <c r="B346" s="2"/>
      <c r="C346" s="2"/>
      <c r="D346" s="9"/>
      <c r="E346" s="4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0"/>
      <c r="B347" s="2"/>
      <c r="C347" s="2"/>
      <c r="D347" s="9"/>
      <c r="E347" s="4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0"/>
      <c r="B348" s="2"/>
      <c r="C348" s="2"/>
      <c r="D348" s="9"/>
      <c r="E348" s="4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0"/>
      <c r="B349" s="2"/>
      <c r="C349" s="2"/>
      <c r="D349" s="9"/>
      <c r="E349" s="4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0"/>
      <c r="B350" s="2"/>
      <c r="C350" s="2"/>
      <c r="D350" s="9"/>
      <c r="E350" s="4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0"/>
      <c r="B351" s="2"/>
      <c r="C351" s="2"/>
      <c r="D351" s="9"/>
      <c r="E351" s="4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0"/>
      <c r="B352" s="2"/>
      <c r="C352" s="2"/>
      <c r="D352" s="9"/>
      <c r="E352" s="4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</sheetData>
  <conditionalFormatting sqref="H2:AA148">
    <cfRule type="notContainsBlanks" dxfId="0" priority="1">
      <formula>LEN(TRIM(H2))&gt;0</formula>
    </cfRule>
  </conditionalFormatting>
  <conditionalFormatting sqref="H2:AA148">
    <cfRule type="containsBlanks" dxfId="1" priority="2">
      <formula>LEN(TRIM(H2))=0</formula>
    </cfRule>
  </conditionalFormatting>
  <conditionalFormatting sqref="E1:E352">
    <cfRule type="notContainsBlanks" dxfId="2" priority="3">
      <formula>LEN(TRIM(E1))&gt;0</formula>
    </cfRule>
  </conditionalFormatting>
  <conditionalFormatting sqref="F1:F148">
    <cfRule type="cellIs" dxfId="2" priority="4" operator="notEqual">
      <formula>0</formula>
    </cfRule>
  </conditionalFormatting>
  <conditionalFormatting sqref="G1:G148">
    <cfRule type="containsBlanks" dxfId="1" priority="5">
      <formula>LEN(TRIM(G1))=0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21" width="4.5"/>
  </cols>
  <sheetData>
    <row r="1" ht="15.75" customHeight="1">
      <c r="A1" s="2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</row>
    <row r="4" ht="15.75" customHeight="1">
      <c r="A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</row>
    <row r="10" ht="15.75" customHeight="1">
      <c r="A10" s="2"/>
    </row>
    <row r="11" ht="15.75" customHeight="1">
      <c r="A11" s="2"/>
    </row>
    <row r="12" ht="15.75" customHeight="1">
      <c r="A12" s="2"/>
    </row>
    <row r="13" ht="15.75" customHeight="1">
      <c r="A13" s="2"/>
    </row>
    <row r="14" ht="15.75" customHeight="1">
      <c r="A14" s="2"/>
    </row>
    <row r="15" ht="15.75" customHeight="1">
      <c r="A15" s="2"/>
    </row>
    <row r="16" ht="15.75" customHeight="1">
      <c r="A16" s="2"/>
    </row>
    <row r="17" ht="15.75" customHeight="1">
      <c r="A17" s="2"/>
    </row>
    <row r="18" ht="15.75" customHeight="1">
      <c r="A18" s="2"/>
    </row>
    <row r="19" ht="15.75" customHeight="1">
      <c r="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1" width="3.0"/>
    <col customWidth="1" min="2" max="2" width="11.75"/>
    <col customWidth="1" min="3" max="3" width="3.13"/>
    <col customWidth="1" min="4" max="4" width="4.5"/>
    <col customWidth="1" min="5" max="24" width="4.88"/>
  </cols>
  <sheetData>
    <row r="1" ht="15.75" customHeight="1">
      <c r="A1" s="22" t="s">
        <v>329</v>
      </c>
      <c r="B1" s="23"/>
      <c r="C1" s="24"/>
      <c r="D1" s="25" t="s">
        <v>330</v>
      </c>
      <c r="E1" s="26" t="s">
        <v>331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ht="15.75" customHeight="1">
      <c r="A2" s="27" t="s">
        <v>0</v>
      </c>
      <c r="B2" s="28" t="s">
        <v>332</v>
      </c>
      <c r="C2" s="27" t="s">
        <v>333</v>
      </c>
      <c r="D2" s="29"/>
      <c r="E2" s="30">
        <v>1.0</v>
      </c>
      <c r="F2" s="31">
        <v>2.0</v>
      </c>
      <c r="G2" s="31">
        <v>3.0</v>
      </c>
      <c r="H2" s="31">
        <v>4.0</v>
      </c>
      <c r="I2" s="31">
        <v>5.0</v>
      </c>
      <c r="J2" s="31">
        <v>6.0</v>
      </c>
      <c r="K2" s="31">
        <v>7.0</v>
      </c>
      <c r="L2" s="31">
        <v>8.0</v>
      </c>
      <c r="M2" s="31">
        <v>9.0</v>
      </c>
      <c r="N2" s="31">
        <v>10.0</v>
      </c>
      <c r="O2" s="31">
        <v>11.0</v>
      </c>
      <c r="P2" s="31">
        <v>12.0</v>
      </c>
      <c r="Q2" s="31">
        <v>13.0</v>
      </c>
      <c r="R2" s="31">
        <v>14.0</v>
      </c>
      <c r="S2" s="31">
        <v>15.0</v>
      </c>
      <c r="T2" s="31">
        <v>16.0</v>
      </c>
      <c r="U2" s="31">
        <v>17.0</v>
      </c>
      <c r="V2" s="31">
        <v>18.0</v>
      </c>
      <c r="W2" s="31">
        <v>19.0</v>
      </c>
      <c r="X2" s="31">
        <v>20.0</v>
      </c>
    </row>
    <row r="3" ht="15.75" customHeight="1">
      <c r="A3" s="32" t="s">
        <v>334</v>
      </c>
      <c r="B3" s="32" t="s">
        <v>335</v>
      </c>
      <c r="C3" s="33" t="s">
        <v>336</v>
      </c>
      <c r="D3" s="29"/>
      <c r="E3" s="34" t="s">
        <v>29</v>
      </c>
      <c r="F3" s="35" t="s">
        <v>28</v>
      </c>
      <c r="G3" s="35" t="s">
        <v>30</v>
      </c>
      <c r="H3" s="35" t="s">
        <v>28</v>
      </c>
      <c r="I3" s="35" t="s">
        <v>28</v>
      </c>
      <c r="J3" s="35" t="s">
        <v>28</v>
      </c>
      <c r="K3" s="35" t="s">
        <v>31</v>
      </c>
      <c r="L3" s="35" t="s">
        <v>31</v>
      </c>
      <c r="M3" s="35" t="s">
        <v>28</v>
      </c>
      <c r="N3" s="35" t="s">
        <v>30</v>
      </c>
      <c r="O3" s="35" t="s">
        <v>32</v>
      </c>
      <c r="P3" s="35" t="s">
        <v>28</v>
      </c>
      <c r="Q3" s="35" t="s">
        <v>31</v>
      </c>
      <c r="R3" s="35" t="s">
        <v>32</v>
      </c>
      <c r="S3" s="35" t="s">
        <v>30</v>
      </c>
      <c r="T3" s="36" t="s">
        <v>337</v>
      </c>
      <c r="U3" s="35" t="s">
        <v>31</v>
      </c>
      <c r="V3" s="35" t="s">
        <v>31</v>
      </c>
      <c r="W3" s="35" t="s">
        <v>31</v>
      </c>
      <c r="X3" s="35" t="s">
        <v>30</v>
      </c>
    </row>
    <row r="4" ht="15.75" customHeight="1">
      <c r="A4" s="37" t="s">
        <v>338</v>
      </c>
      <c r="B4" s="38"/>
      <c r="C4" s="39"/>
      <c r="D4" s="40"/>
      <c r="E4" s="41">
        <v>0.5</v>
      </c>
      <c r="F4" s="42">
        <v>0.5</v>
      </c>
      <c r="G4" s="42">
        <v>0.5</v>
      </c>
      <c r="H4" s="42">
        <v>0.5</v>
      </c>
      <c r="I4" s="42">
        <v>0.5</v>
      </c>
      <c r="J4" s="42">
        <v>0.5</v>
      </c>
      <c r="K4" s="42">
        <v>0.5</v>
      </c>
      <c r="L4" s="42">
        <v>0.5</v>
      </c>
      <c r="M4" s="42">
        <v>0.5</v>
      </c>
      <c r="N4" s="42">
        <v>0.5</v>
      </c>
      <c r="O4" s="42">
        <v>0.5</v>
      </c>
      <c r="P4" s="42">
        <v>0.5</v>
      </c>
      <c r="Q4" s="42">
        <v>0.5</v>
      </c>
      <c r="R4" s="42">
        <v>0.5</v>
      </c>
      <c r="S4" s="42">
        <v>0.5</v>
      </c>
      <c r="T4" s="42">
        <v>0.5</v>
      </c>
      <c r="U4" s="42">
        <v>0.5</v>
      </c>
      <c r="V4" s="42">
        <v>0.5</v>
      </c>
      <c r="W4" s="42">
        <v>0.5</v>
      </c>
      <c r="X4" s="42">
        <v>0.5</v>
      </c>
    </row>
    <row r="5" ht="15.75" customHeight="1">
      <c r="A5" s="43" t="s">
        <v>339</v>
      </c>
      <c r="B5" s="23"/>
      <c r="C5" s="24"/>
      <c r="D5" s="44">
        <f t="shared" ref="D5:D10" si="1">B63</f>
        <v>10</v>
      </c>
      <c r="E5" s="45" t="s">
        <v>29</v>
      </c>
      <c r="F5" s="46" t="s">
        <v>28</v>
      </c>
      <c r="G5" s="46" t="s">
        <v>30</v>
      </c>
      <c r="H5" s="46" t="s">
        <v>28</v>
      </c>
      <c r="I5" s="46" t="s">
        <v>28</v>
      </c>
      <c r="J5" s="46" t="s">
        <v>28</v>
      </c>
      <c r="K5" s="46" t="s">
        <v>31</v>
      </c>
      <c r="L5" s="46" t="s">
        <v>31</v>
      </c>
      <c r="M5" s="46" t="s">
        <v>28</v>
      </c>
      <c r="N5" s="46" t="s">
        <v>30</v>
      </c>
      <c r="O5" s="46" t="s">
        <v>32</v>
      </c>
      <c r="P5" s="46" t="s">
        <v>28</v>
      </c>
      <c r="Q5" s="46" t="s">
        <v>31</v>
      </c>
      <c r="R5" s="46" t="s">
        <v>32</v>
      </c>
      <c r="S5" s="46" t="s">
        <v>30</v>
      </c>
      <c r="T5" s="46" t="s">
        <v>337</v>
      </c>
      <c r="U5" s="46" t="s">
        <v>31</v>
      </c>
      <c r="V5" s="46" t="s">
        <v>31</v>
      </c>
      <c r="W5" s="46" t="s">
        <v>31</v>
      </c>
      <c r="X5" s="46" t="s">
        <v>30</v>
      </c>
    </row>
    <row r="6" ht="15.75" customHeight="1">
      <c r="A6" s="47">
        <v>1.0</v>
      </c>
      <c r="B6" s="48" t="s">
        <v>27</v>
      </c>
      <c r="C6" s="49" t="s">
        <v>340</v>
      </c>
      <c r="D6" s="50">
        <f t="shared" si="1"/>
        <v>4.5</v>
      </c>
      <c r="E6" s="51" t="s">
        <v>28</v>
      </c>
      <c r="F6" s="52" t="s">
        <v>28</v>
      </c>
      <c r="G6" s="52" t="s">
        <v>29</v>
      </c>
      <c r="H6" s="52" t="s">
        <v>28</v>
      </c>
      <c r="I6" s="52" t="s">
        <v>29</v>
      </c>
      <c r="J6" s="52" t="s">
        <v>30</v>
      </c>
      <c r="K6" s="52" t="s">
        <v>30</v>
      </c>
      <c r="L6" s="52" t="s">
        <v>31</v>
      </c>
      <c r="M6" s="52" t="s">
        <v>28</v>
      </c>
      <c r="N6" s="52" t="s">
        <v>30</v>
      </c>
      <c r="O6" s="52" t="s">
        <v>32</v>
      </c>
      <c r="P6" s="52" t="s">
        <v>28</v>
      </c>
      <c r="Q6" s="52" t="s">
        <v>31</v>
      </c>
      <c r="R6" s="52" t="s">
        <v>31</v>
      </c>
      <c r="S6" s="52" t="s">
        <v>29</v>
      </c>
      <c r="T6" s="52" t="s">
        <v>337</v>
      </c>
      <c r="U6" s="52" t="s">
        <v>32</v>
      </c>
      <c r="V6" s="52" t="s">
        <v>28</v>
      </c>
      <c r="W6" s="52" t="s">
        <v>30</v>
      </c>
      <c r="X6" s="52" t="s">
        <v>28</v>
      </c>
    </row>
    <row r="7" ht="15.75" customHeight="1">
      <c r="A7" s="53">
        <v>2.0</v>
      </c>
      <c r="B7" s="54" t="s">
        <v>33</v>
      </c>
      <c r="C7" s="55" t="s">
        <v>341</v>
      </c>
      <c r="D7" s="56">
        <f t="shared" si="1"/>
        <v>2</v>
      </c>
      <c r="E7" s="51" t="s">
        <v>30</v>
      </c>
      <c r="F7" s="52" t="s">
        <v>28</v>
      </c>
      <c r="G7" s="52" t="s">
        <v>29</v>
      </c>
      <c r="H7" s="52" t="s">
        <v>31</v>
      </c>
      <c r="I7" s="52" t="s">
        <v>28</v>
      </c>
      <c r="J7" s="52" t="s">
        <v>32</v>
      </c>
      <c r="K7" s="52" t="s">
        <v>30</v>
      </c>
      <c r="L7" s="52" t="s">
        <v>30</v>
      </c>
      <c r="M7" s="52" t="s">
        <v>31</v>
      </c>
      <c r="N7" s="52" t="s">
        <v>32</v>
      </c>
      <c r="O7" s="52" t="s">
        <v>29</v>
      </c>
      <c r="P7" s="52" t="s">
        <v>30</v>
      </c>
      <c r="Q7" s="52" t="s">
        <v>28</v>
      </c>
      <c r="R7" s="52" t="s">
        <v>31</v>
      </c>
      <c r="S7" s="52" t="s">
        <v>29</v>
      </c>
      <c r="T7" s="52" t="s">
        <v>337</v>
      </c>
      <c r="U7" s="52" t="s">
        <v>30</v>
      </c>
      <c r="V7" s="52" t="s">
        <v>32</v>
      </c>
      <c r="W7" s="52" t="s">
        <v>29</v>
      </c>
      <c r="X7" s="52" t="s">
        <v>30</v>
      </c>
    </row>
    <row r="8" ht="15.75" customHeight="1">
      <c r="A8" s="53">
        <v>3.0</v>
      </c>
      <c r="B8" s="54" t="s">
        <v>35</v>
      </c>
      <c r="C8" s="55" t="s">
        <v>342</v>
      </c>
      <c r="D8" s="56">
        <f t="shared" si="1"/>
        <v>8.5</v>
      </c>
      <c r="E8" s="51" t="s">
        <v>29</v>
      </c>
      <c r="F8" s="52" t="s">
        <v>28</v>
      </c>
      <c r="G8" s="52" t="s">
        <v>32</v>
      </c>
      <c r="H8" s="52" t="s">
        <v>28</v>
      </c>
      <c r="I8" s="52" t="s">
        <v>28</v>
      </c>
      <c r="J8" s="52" t="s">
        <v>28</v>
      </c>
      <c r="K8" s="52" t="s">
        <v>31</v>
      </c>
      <c r="L8" s="52" t="s">
        <v>31</v>
      </c>
      <c r="M8" s="52" t="s">
        <v>28</v>
      </c>
      <c r="N8" s="52" t="s">
        <v>30</v>
      </c>
      <c r="O8" s="52" t="s">
        <v>32</v>
      </c>
      <c r="P8" s="52" t="s">
        <v>28</v>
      </c>
      <c r="Q8" s="52" t="s">
        <v>31</v>
      </c>
      <c r="R8" s="52" t="s">
        <v>31</v>
      </c>
      <c r="S8" s="52" t="s">
        <v>30</v>
      </c>
      <c r="T8" s="52" t="s">
        <v>337</v>
      </c>
      <c r="U8" s="52" t="s">
        <v>31</v>
      </c>
      <c r="V8" s="52" t="s">
        <v>31</v>
      </c>
      <c r="W8" s="52" t="s">
        <v>31</v>
      </c>
      <c r="X8" s="52" t="s">
        <v>28</v>
      </c>
    </row>
    <row r="9" ht="15.75" customHeight="1">
      <c r="A9" s="53">
        <v>4.0</v>
      </c>
      <c r="B9" s="54" t="s">
        <v>37</v>
      </c>
      <c r="C9" s="55" t="s">
        <v>38</v>
      </c>
      <c r="D9" s="56">
        <f t="shared" si="1"/>
        <v>9</v>
      </c>
      <c r="E9" s="51" t="s">
        <v>29</v>
      </c>
      <c r="F9" s="52" t="s">
        <v>28</v>
      </c>
      <c r="G9" s="52" t="s">
        <v>30</v>
      </c>
      <c r="H9" s="52" t="s">
        <v>28</v>
      </c>
      <c r="I9" s="52" t="s">
        <v>28</v>
      </c>
      <c r="J9" s="52" t="s">
        <v>32</v>
      </c>
      <c r="K9" s="52" t="s">
        <v>31</v>
      </c>
      <c r="L9" s="52" t="s">
        <v>31</v>
      </c>
      <c r="M9" s="52" t="s">
        <v>28</v>
      </c>
      <c r="N9" s="52" t="s">
        <v>30</v>
      </c>
      <c r="O9" s="52" t="s">
        <v>31</v>
      </c>
      <c r="P9" s="52" t="s">
        <v>28</v>
      </c>
      <c r="Q9" s="52" t="s">
        <v>31</v>
      </c>
      <c r="R9" s="52" t="s">
        <v>32</v>
      </c>
      <c r="S9" s="52" t="s">
        <v>30</v>
      </c>
      <c r="T9" s="52" t="s">
        <v>337</v>
      </c>
      <c r="U9" s="52" t="s">
        <v>31</v>
      </c>
      <c r="V9" s="52" t="s">
        <v>31</v>
      </c>
      <c r="W9" s="52" t="s">
        <v>31</v>
      </c>
      <c r="X9" s="52" t="s">
        <v>30</v>
      </c>
    </row>
    <row r="10" ht="15.75" customHeight="1">
      <c r="A10" s="53">
        <v>5.0</v>
      </c>
      <c r="B10" s="54" t="s">
        <v>39</v>
      </c>
      <c r="C10" s="55" t="s">
        <v>40</v>
      </c>
      <c r="D10" s="56">
        <f t="shared" si="1"/>
        <v>5</v>
      </c>
      <c r="E10" s="51" t="s">
        <v>29</v>
      </c>
      <c r="F10" s="52" t="s">
        <v>28</v>
      </c>
      <c r="G10" s="52" t="s">
        <v>32</v>
      </c>
      <c r="H10" s="52" t="s">
        <v>28</v>
      </c>
      <c r="I10" s="52" t="s">
        <v>30</v>
      </c>
      <c r="J10" s="52" t="s">
        <v>29</v>
      </c>
      <c r="K10" s="52" t="s">
        <v>28</v>
      </c>
      <c r="L10" s="52" t="s">
        <v>31</v>
      </c>
      <c r="M10" s="52" t="s">
        <v>31</v>
      </c>
      <c r="N10" s="52" t="s">
        <v>28</v>
      </c>
      <c r="O10" s="52" t="s">
        <v>32</v>
      </c>
      <c r="P10" s="52" t="s">
        <v>28</v>
      </c>
      <c r="Q10" s="52" t="s">
        <v>31</v>
      </c>
      <c r="R10" s="52" t="s">
        <v>31</v>
      </c>
      <c r="S10" s="52" t="s">
        <v>30</v>
      </c>
      <c r="T10" s="52" t="s">
        <v>337</v>
      </c>
      <c r="U10" s="52" t="s">
        <v>32</v>
      </c>
      <c r="V10" s="52" t="s">
        <v>28</v>
      </c>
      <c r="W10" s="52" t="s">
        <v>31</v>
      </c>
      <c r="X10" s="52" t="s">
        <v>28</v>
      </c>
    </row>
    <row r="11" ht="15.75" customHeight="1">
      <c r="A11" s="53">
        <v>6.0</v>
      </c>
      <c r="B11" s="54" t="s">
        <v>41</v>
      </c>
      <c r="C11" s="55" t="s">
        <v>42</v>
      </c>
      <c r="D11" s="56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 ht="15.75" customHeight="1">
      <c r="A12" s="53">
        <v>7.0</v>
      </c>
      <c r="B12" s="54" t="s">
        <v>43</v>
      </c>
      <c r="C12" s="55" t="s">
        <v>44</v>
      </c>
      <c r="D12" s="56">
        <f t="shared" ref="D12:D42" si="2">B70</f>
        <v>4.5</v>
      </c>
      <c r="E12" s="51" t="s">
        <v>28</v>
      </c>
      <c r="F12" s="52" t="s">
        <v>28</v>
      </c>
      <c r="G12" s="52" t="s">
        <v>28</v>
      </c>
      <c r="H12" s="52" t="s">
        <v>28</v>
      </c>
      <c r="I12" s="52" t="s">
        <v>29</v>
      </c>
      <c r="J12" s="52" t="s">
        <v>30</v>
      </c>
      <c r="K12" s="52" t="s">
        <v>31</v>
      </c>
      <c r="L12" s="52" t="s">
        <v>30</v>
      </c>
      <c r="M12" s="52" t="s">
        <v>28</v>
      </c>
      <c r="N12" s="52" t="s">
        <v>28</v>
      </c>
      <c r="O12" s="52" t="s">
        <v>32</v>
      </c>
      <c r="P12" s="52" t="s">
        <v>28</v>
      </c>
      <c r="Q12" s="52" t="s">
        <v>31</v>
      </c>
      <c r="R12" s="52" t="s">
        <v>31</v>
      </c>
      <c r="S12" s="52" t="s">
        <v>30</v>
      </c>
      <c r="T12" s="52" t="s">
        <v>337</v>
      </c>
      <c r="U12" s="52" t="s">
        <v>30</v>
      </c>
      <c r="V12" s="52" t="s">
        <v>28</v>
      </c>
      <c r="W12" s="52" t="s">
        <v>29</v>
      </c>
      <c r="X12" s="52" t="s">
        <v>28</v>
      </c>
    </row>
    <row r="13" ht="15.75" customHeight="1">
      <c r="A13" s="53">
        <v>8.0</v>
      </c>
      <c r="B13" s="54" t="s">
        <v>45</v>
      </c>
      <c r="C13" s="55" t="s">
        <v>46</v>
      </c>
      <c r="D13" s="56">
        <f t="shared" si="2"/>
        <v>5.5</v>
      </c>
      <c r="E13" s="51" t="s">
        <v>28</v>
      </c>
      <c r="F13" s="52" t="s">
        <v>28</v>
      </c>
      <c r="G13" s="52" t="s">
        <v>31</v>
      </c>
      <c r="H13" s="52" t="s">
        <v>28</v>
      </c>
      <c r="I13" s="52" t="s">
        <v>29</v>
      </c>
      <c r="J13" s="52" t="s">
        <v>32</v>
      </c>
      <c r="K13" s="52" t="s">
        <v>31</v>
      </c>
      <c r="L13" s="52" t="s">
        <v>28</v>
      </c>
      <c r="M13" s="52" t="s">
        <v>28</v>
      </c>
      <c r="N13" s="52" t="s">
        <v>30</v>
      </c>
      <c r="O13" s="52" t="s">
        <v>32</v>
      </c>
      <c r="P13" s="52" t="s">
        <v>28</v>
      </c>
      <c r="Q13" s="52" t="s">
        <v>31</v>
      </c>
      <c r="R13" s="52" t="s">
        <v>31</v>
      </c>
      <c r="S13" s="52" t="s">
        <v>31</v>
      </c>
      <c r="T13" s="52" t="s">
        <v>337</v>
      </c>
      <c r="U13" s="52" t="s">
        <v>31</v>
      </c>
      <c r="V13" s="52" t="s">
        <v>32</v>
      </c>
      <c r="W13" s="52" t="s">
        <v>30</v>
      </c>
      <c r="X13" s="52" t="s">
        <v>30</v>
      </c>
    </row>
    <row r="14" ht="15.75" customHeight="1">
      <c r="A14" s="53">
        <v>9.0</v>
      </c>
      <c r="B14" s="54" t="s">
        <v>47</v>
      </c>
      <c r="C14" s="55" t="s">
        <v>48</v>
      </c>
      <c r="D14" s="56">
        <f t="shared" si="2"/>
        <v>6</v>
      </c>
      <c r="E14" s="51" t="s">
        <v>29</v>
      </c>
      <c r="F14" s="52" t="s">
        <v>28</v>
      </c>
      <c r="G14" s="52" t="s">
        <v>28</v>
      </c>
      <c r="H14" s="52" t="s">
        <v>28</v>
      </c>
      <c r="I14" s="52" t="s">
        <v>28</v>
      </c>
      <c r="J14" s="52" t="s">
        <v>29</v>
      </c>
      <c r="K14" s="52" t="s">
        <v>29</v>
      </c>
      <c r="L14" s="52" t="s">
        <v>30</v>
      </c>
      <c r="M14" s="52" t="s">
        <v>28</v>
      </c>
      <c r="N14" s="52" t="s">
        <v>30</v>
      </c>
      <c r="O14" s="52" t="s">
        <v>32</v>
      </c>
      <c r="P14" s="52" t="s">
        <v>28</v>
      </c>
      <c r="Q14" s="52" t="s">
        <v>31</v>
      </c>
      <c r="R14" s="52" t="s">
        <v>29</v>
      </c>
      <c r="S14" s="52" t="s">
        <v>28</v>
      </c>
      <c r="T14" s="52" t="s">
        <v>337</v>
      </c>
      <c r="U14" s="52" t="s">
        <v>31</v>
      </c>
      <c r="V14" s="52" t="s">
        <v>28</v>
      </c>
      <c r="W14" s="52" t="s">
        <v>31</v>
      </c>
      <c r="X14" s="52" t="s">
        <v>28</v>
      </c>
    </row>
    <row r="15" ht="15.75" customHeight="1">
      <c r="A15" s="53">
        <v>10.0</v>
      </c>
      <c r="B15" s="54" t="s">
        <v>49</v>
      </c>
      <c r="C15" s="55" t="s">
        <v>50</v>
      </c>
      <c r="D15" s="56">
        <f t="shared" si="2"/>
        <v>8</v>
      </c>
      <c r="E15" s="51" t="s">
        <v>29</v>
      </c>
      <c r="F15" s="52" t="s">
        <v>29</v>
      </c>
      <c r="G15" s="52" t="s">
        <v>30</v>
      </c>
      <c r="H15" s="52" t="s">
        <v>28</v>
      </c>
      <c r="I15" s="52" t="s">
        <v>28</v>
      </c>
      <c r="J15" s="52" t="s">
        <v>28</v>
      </c>
      <c r="K15" s="52" t="s">
        <v>30</v>
      </c>
      <c r="L15" s="52" t="s">
        <v>31</v>
      </c>
      <c r="M15" s="52" t="s">
        <v>28</v>
      </c>
      <c r="N15" s="52" t="s">
        <v>30</v>
      </c>
      <c r="O15" s="52" t="s">
        <v>32</v>
      </c>
      <c r="P15" s="52" t="s">
        <v>28</v>
      </c>
      <c r="Q15" s="52" t="s">
        <v>31</v>
      </c>
      <c r="R15" s="52" t="s">
        <v>32</v>
      </c>
      <c r="S15" s="52" t="s">
        <v>30</v>
      </c>
      <c r="T15" s="52" t="s">
        <v>337</v>
      </c>
      <c r="U15" s="52" t="s">
        <v>31</v>
      </c>
      <c r="V15" s="52" t="s">
        <v>31</v>
      </c>
      <c r="W15" s="52" t="s">
        <v>30</v>
      </c>
      <c r="X15" s="52" t="s">
        <v>28</v>
      </c>
    </row>
    <row r="16" ht="15.75" customHeight="1">
      <c r="A16" s="53">
        <v>11.0</v>
      </c>
      <c r="B16" s="54" t="s">
        <v>51</v>
      </c>
      <c r="C16" s="55" t="s">
        <v>52</v>
      </c>
      <c r="D16" s="56">
        <f t="shared" si="2"/>
        <v>6</v>
      </c>
      <c r="E16" s="51" t="s">
        <v>28</v>
      </c>
      <c r="F16" s="52" t="s">
        <v>28</v>
      </c>
      <c r="G16" s="52" t="s">
        <v>30</v>
      </c>
      <c r="H16" s="52" t="s">
        <v>28</v>
      </c>
      <c r="I16" s="52" t="s">
        <v>28</v>
      </c>
      <c r="J16" s="52" t="s">
        <v>28</v>
      </c>
      <c r="K16" s="52" t="s">
        <v>29</v>
      </c>
      <c r="L16" s="52" t="s">
        <v>28</v>
      </c>
      <c r="M16" s="52" t="s">
        <v>29</v>
      </c>
      <c r="N16" s="52" t="s">
        <v>30</v>
      </c>
      <c r="O16" s="52" t="s">
        <v>32</v>
      </c>
      <c r="P16" s="52" t="s">
        <v>28</v>
      </c>
      <c r="Q16" s="52" t="s">
        <v>31</v>
      </c>
      <c r="R16" s="52" t="s">
        <v>31</v>
      </c>
      <c r="S16" s="52" t="s">
        <v>30</v>
      </c>
      <c r="T16" s="52" t="s">
        <v>337</v>
      </c>
      <c r="U16" s="52" t="s">
        <v>31</v>
      </c>
      <c r="V16" s="52" t="s">
        <v>32</v>
      </c>
      <c r="W16" s="52" t="s">
        <v>28</v>
      </c>
      <c r="X16" s="52" t="s">
        <v>29</v>
      </c>
    </row>
    <row r="17" ht="15.75" customHeight="1">
      <c r="A17" s="53">
        <v>12.0</v>
      </c>
      <c r="B17" s="54" t="s">
        <v>53</v>
      </c>
      <c r="C17" s="57" t="s">
        <v>54</v>
      </c>
      <c r="D17" s="56">
        <f t="shared" si="2"/>
        <v>5.5</v>
      </c>
      <c r="E17" s="51" t="s">
        <v>30</v>
      </c>
      <c r="F17" s="52" t="s">
        <v>29</v>
      </c>
      <c r="G17" s="52" t="s">
        <v>31</v>
      </c>
      <c r="H17" s="52" t="s">
        <v>28</v>
      </c>
      <c r="I17" s="52" t="s">
        <v>32</v>
      </c>
      <c r="J17" s="52" t="s">
        <v>30</v>
      </c>
      <c r="K17" s="52" t="s">
        <v>31</v>
      </c>
      <c r="L17" s="52" t="s">
        <v>30</v>
      </c>
      <c r="M17" s="52" t="s">
        <v>28</v>
      </c>
      <c r="N17" s="52" t="s">
        <v>32</v>
      </c>
      <c r="O17" s="52" t="s">
        <v>32</v>
      </c>
      <c r="P17" s="52" t="s">
        <v>28</v>
      </c>
      <c r="Q17" s="52" t="s">
        <v>31</v>
      </c>
      <c r="R17" s="52" t="s">
        <v>32</v>
      </c>
      <c r="S17" s="52" t="s">
        <v>30</v>
      </c>
      <c r="T17" s="52" t="s">
        <v>337</v>
      </c>
      <c r="U17" s="52" t="s">
        <v>31</v>
      </c>
      <c r="V17" s="52" t="s">
        <v>28</v>
      </c>
      <c r="W17" s="52" t="s">
        <v>31</v>
      </c>
      <c r="X17" s="52" t="s">
        <v>29</v>
      </c>
    </row>
    <row r="18" ht="15.75" customHeight="1">
      <c r="A18" s="53">
        <v>13.0</v>
      </c>
      <c r="B18" s="54" t="s">
        <v>55</v>
      </c>
      <c r="C18" s="55" t="s">
        <v>56</v>
      </c>
      <c r="D18" s="56">
        <f t="shared" si="2"/>
        <v>5.5</v>
      </c>
      <c r="E18" s="51" t="s">
        <v>31</v>
      </c>
      <c r="F18" s="52" t="s">
        <v>28</v>
      </c>
      <c r="G18" s="52" t="s">
        <v>32</v>
      </c>
      <c r="H18" s="52" t="s">
        <v>28</v>
      </c>
      <c r="I18" s="52" t="s">
        <v>29</v>
      </c>
      <c r="J18" s="52" t="s">
        <v>29</v>
      </c>
      <c r="K18" s="52" t="s">
        <v>28</v>
      </c>
      <c r="L18" s="52" t="s">
        <v>28</v>
      </c>
      <c r="M18" s="52" t="s">
        <v>28</v>
      </c>
      <c r="N18" s="52" t="s">
        <v>30</v>
      </c>
      <c r="O18" s="52" t="s">
        <v>32</v>
      </c>
      <c r="P18" s="52" t="s">
        <v>28</v>
      </c>
      <c r="Q18" s="52" t="s">
        <v>31</v>
      </c>
      <c r="R18" s="52" t="s">
        <v>32</v>
      </c>
      <c r="S18" s="52" t="s">
        <v>30</v>
      </c>
      <c r="T18" s="52" t="s">
        <v>337</v>
      </c>
      <c r="U18" s="52" t="s">
        <v>31</v>
      </c>
      <c r="V18" s="52" t="s">
        <v>32</v>
      </c>
      <c r="W18" s="52" t="s">
        <v>29</v>
      </c>
      <c r="X18" s="52" t="s">
        <v>32</v>
      </c>
    </row>
    <row r="19" ht="15.75" customHeight="1">
      <c r="A19" s="53">
        <v>14.0</v>
      </c>
      <c r="B19" s="54" t="s">
        <v>57</v>
      </c>
      <c r="C19" s="55" t="s">
        <v>58</v>
      </c>
      <c r="D19" s="56">
        <f t="shared" si="2"/>
        <v>5</v>
      </c>
      <c r="E19" s="51" t="s">
        <v>31</v>
      </c>
      <c r="F19" s="52" t="s">
        <v>30</v>
      </c>
      <c r="G19" s="52" t="s">
        <v>32</v>
      </c>
      <c r="H19" s="52" t="s">
        <v>28</v>
      </c>
      <c r="I19" s="52" t="s">
        <v>28</v>
      </c>
      <c r="J19" s="52" t="s">
        <v>28</v>
      </c>
      <c r="K19" s="52" t="s">
        <v>28</v>
      </c>
      <c r="L19" s="52" t="s">
        <v>31</v>
      </c>
      <c r="M19" s="52" t="s">
        <v>28</v>
      </c>
      <c r="N19" s="52" t="s">
        <v>31</v>
      </c>
      <c r="O19" s="52" t="s">
        <v>32</v>
      </c>
      <c r="P19" s="52" t="s">
        <v>32</v>
      </c>
      <c r="Q19" s="52" t="s">
        <v>30</v>
      </c>
      <c r="R19" s="52" t="s">
        <v>32</v>
      </c>
      <c r="S19" s="52" t="s">
        <v>29</v>
      </c>
      <c r="T19" s="52" t="s">
        <v>337</v>
      </c>
      <c r="U19" s="52" t="s">
        <v>31</v>
      </c>
      <c r="V19" s="52" t="s">
        <v>28</v>
      </c>
      <c r="W19" s="52" t="s">
        <v>31</v>
      </c>
      <c r="X19" s="52" t="s">
        <v>28</v>
      </c>
    </row>
    <row r="20" ht="15.75" customHeight="1">
      <c r="A20" s="53">
        <v>15.0</v>
      </c>
      <c r="B20" s="54" t="s">
        <v>59</v>
      </c>
      <c r="C20" s="55" t="s">
        <v>60</v>
      </c>
      <c r="D20" s="56">
        <f t="shared" si="2"/>
        <v>4.5</v>
      </c>
      <c r="E20" s="51" t="s">
        <v>28</v>
      </c>
      <c r="F20" s="52" t="s">
        <v>28</v>
      </c>
      <c r="G20" s="52" t="s">
        <v>29</v>
      </c>
      <c r="H20" s="52" t="s">
        <v>28</v>
      </c>
      <c r="I20" s="52" t="s">
        <v>32</v>
      </c>
      <c r="J20" s="52" t="s">
        <v>30</v>
      </c>
      <c r="K20" s="52" t="s">
        <v>30</v>
      </c>
      <c r="L20" s="52" t="s">
        <v>31</v>
      </c>
      <c r="M20" s="52" t="s">
        <v>28</v>
      </c>
      <c r="N20" s="52" t="s">
        <v>29</v>
      </c>
      <c r="O20" s="52" t="s">
        <v>32</v>
      </c>
      <c r="P20" s="52" t="s">
        <v>28</v>
      </c>
      <c r="Q20" s="52" t="s">
        <v>31</v>
      </c>
      <c r="R20" s="52" t="s">
        <v>31</v>
      </c>
      <c r="S20" s="52" t="s">
        <v>29</v>
      </c>
      <c r="T20" s="52" t="s">
        <v>337</v>
      </c>
      <c r="U20" s="52" t="s">
        <v>31</v>
      </c>
      <c r="V20" s="52" t="s">
        <v>29</v>
      </c>
      <c r="W20" s="52" t="s">
        <v>32</v>
      </c>
      <c r="X20" s="52" t="s">
        <v>29</v>
      </c>
    </row>
    <row r="21" ht="15.75" customHeight="1">
      <c r="A21" s="53">
        <v>16.0</v>
      </c>
      <c r="B21" s="54" t="s">
        <v>61</v>
      </c>
      <c r="C21" s="55" t="s">
        <v>62</v>
      </c>
      <c r="D21" s="56">
        <f t="shared" si="2"/>
        <v>5.5</v>
      </c>
      <c r="E21" s="51" t="s">
        <v>28</v>
      </c>
      <c r="F21" s="52" t="s">
        <v>28</v>
      </c>
      <c r="G21" s="52" t="s">
        <v>31</v>
      </c>
      <c r="H21" s="52" t="s">
        <v>28</v>
      </c>
      <c r="I21" s="52" t="s">
        <v>28</v>
      </c>
      <c r="J21" s="52" t="s">
        <v>30</v>
      </c>
      <c r="K21" s="52" t="s">
        <v>32</v>
      </c>
      <c r="L21" s="52" t="s">
        <v>28</v>
      </c>
      <c r="M21" s="52" t="s">
        <v>28</v>
      </c>
      <c r="N21" s="52" t="s">
        <v>30</v>
      </c>
      <c r="O21" s="52" t="s">
        <v>31</v>
      </c>
      <c r="P21" s="52" t="s">
        <v>28</v>
      </c>
      <c r="Q21" s="52" t="s">
        <v>31</v>
      </c>
      <c r="R21" s="52" t="s">
        <v>28</v>
      </c>
      <c r="S21" s="52" t="s">
        <v>30</v>
      </c>
      <c r="T21" s="52" t="s">
        <v>337</v>
      </c>
      <c r="U21" s="52" t="s">
        <v>31</v>
      </c>
      <c r="V21" s="52" t="s">
        <v>31</v>
      </c>
      <c r="W21" s="52" t="s">
        <v>32</v>
      </c>
      <c r="X21" s="52" t="s">
        <v>32</v>
      </c>
    </row>
    <row r="22" ht="15.75" customHeight="1">
      <c r="A22" s="53">
        <v>17.0</v>
      </c>
      <c r="B22" s="54" t="s">
        <v>63</v>
      </c>
      <c r="C22" s="55" t="s">
        <v>64</v>
      </c>
      <c r="D22" s="56">
        <f t="shared" si="2"/>
        <v>6</v>
      </c>
      <c r="E22" s="51" t="s">
        <v>32</v>
      </c>
      <c r="F22" s="52" t="s">
        <v>32</v>
      </c>
      <c r="G22" s="52" t="s">
        <v>29</v>
      </c>
      <c r="H22" s="52" t="s">
        <v>31</v>
      </c>
      <c r="I22" s="52" t="s">
        <v>30</v>
      </c>
      <c r="J22" s="52" t="s">
        <v>28</v>
      </c>
      <c r="K22" s="52" t="s">
        <v>31</v>
      </c>
      <c r="L22" s="52" t="s">
        <v>31</v>
      </c>
      <c r="M22" s="52" t="s">
        <v>28</v>
      </c>
      <c r="N22" s="52" t="s">
        <v>30</v>
      </c>
      <c r="O22" s="52" t="s">
        <v>32</v>
      </c>
      <c r="P22" s="52" t="s">
        <v>28</v>
      </c>
      <c r="Q22" s="52" t="s">
        <v>31</v>
      </c>
      <c r="R22" s="52" t="s">
        <v>32</v>
      </c>
      <c r="S22" s="52" t="s">
        <v>29</v>
      </c>
      <c r="T22" s="52" t="s">
        <v>337</v>
      </c>
      <c r="U22" s="52" t="s">
        <v>31</v>
      </c>
      <c r="V22" s="52" t="s">
        <v>28</v>
      </c>
      <c r="W22" s="52" t="s">
        <v>31</v>
      </c>
      <c r="X22" s="52" t="s">
        <v>29</v>
      </c>
    </row>
    <row r="23" ht="15.75" customHeight="1">
      <c r="A23" s="53">
        <v>18.0</v>
      </c>
      <c r="B23" s="54" t="s">
        <v>65</v>
      </c>
      <c r="C23" s="57" t="s">
        <v>66</v>
      </c>
      <c r="D23" s="56">
        <f t="shared" si="2"/>
        <v>4</v>
      </c>
      <c r="E23" s="51" t="s">
        <v>28</v>
      </c>
      <c r="F23" s="52" t="s">
        <v>28</v>
      </c>
      <c r="G23" s="52" t="s">
        <v>30</v>
      </c>
      <c r="H23" s="52" t="s">
        <v>28</v>
      </c>
      <c r="I23" s="52" t="s">
        <v>32</v>
      </c>
      <c r="J23" s="52" t="s">
        <v>31</v>
      </c>
      <c r="K23" s="52" t="s">
        <v>32</v>
      </c>
      <c r="L23" s="52" t="s">
        <v>30</v>
      </c>
      <c r="M23" s="52" t="s">
        <v>29</v>
      </c>
      <c r="N23" s="52" t="s">
        <v>30</v>
      </c>
      <c r="O23" s="52" t="s">
        <v>32</v>
      </c>
      <c r="P23" s="52" t="s">
        <v>28</v>
      </c>
      <c r="Q23" s="52" t="s">
        <v>30</v>
      </c>
      <c r="R23" s="52" t="s">
        <v>31</v>
      </c>
      <c r="S23" s="52" t="s">
        <v>29</v>
      </c>
      <c r="T23" s="52" t="s">
        <v>337</v>
      </c>
      <c r="U23" s="52" t="s">
        <v>31</v>
      </c>
      <c r="V23" s="52" t="s">
        <v>32</v>
      </c>
      <c r="W23" s="52" t="s">
        <v>29</v>
      </c>
      <c r="X23" s="52" t="s">
        <v>29</v>
      </c>
    </row>
    <row r="24" ht="15.75" customHeight="1">
      <c r="A24" s="53">
        <v>19.0</v>
      </c>
      <c r="B24" s="54" t="s">
        <v>67</v>
      </c>
      <c r="C24" s="55" t="s">
        <v>68</v>
      </c>
      <c r="D24" s="56">
        <f t="shared" si="2"/>
        <v>5.5</v>
      </c>
      <c r="E24" s="51" t="s">
        <v>29</v>
      </c>
      <c r="F24" s="52" t="s">
        <v>29</v>
      </c>
      <c r="G24" s="52" t="s">
        <v>28</v>
      </c>
      <c r="H24" s="52" t="s">
        <v>28</v>
      </c>
      <c r="I24" s="52" t="s">
        <v>28</v>
      </c>
      <c r="J24" s="52" t="s">
        <v>31</v>
      </c>
      <c r="K24" s="52" t="s">
        <v>31</v>
      </c>
      <c r="L24" s="52" t="s">
        <v>31</v>
      </c>
      <c r="M24" s="52" t="s">
        <v>30</v>
      </c>
      <c r="N24" s="52" t="s">
        <v>32</v>
      </c>
      <c r="O24" s="52" t="s">
        <v>32</v>
      </c>
      <c r="P24" s="52" t="s">
        <v>28</v>
      </c>
      <c r="Q24" s="52" t="s">
        <v>31</v>
      </c>
      <c r="R24" s="52" t="s">
        <v>31</v>
      </c>
      <c r="S24" s="52" t="s">
        <v>31</v>
      </c>
      <c r="T24" s="52" t="s">
        <v>337</v>
      </c>
      <c r="U24" s="52" t="s">
        <v>31</v>
      </c>
      <c r="V24" s="52" t="s">
        <v>31</v>
      </c>
      <c r="W24" s="52" t="s">
        <v>29</v>
      </c>
      <c r="X24" s="52" t="s">
        <v>28</v>
      </c>
    </row>
    <row r="25" ht="15.75" customHeight="1">
      <c r="A25" s="53">
        <v>20.0</v>
      </c>
      <c r="B25" s="54" t="s">
        <v>69</v>
      </c>
      <c r="C25" s="58" t="s">
        <v>70</v>
      </c>
      <c r="D25" s="56">
        <f t="shared" si="2"/>
        <v>2.5</v>
      </c>
      <c r="E25" s="51" t="s">
        <v>32</v>
      </c>
      <c r="F25" s="52" t="s">
        <v>32</v>
      </c>
      <c r="G25" s="52" t="s">
        <v>29</v>
      </c>
      <c r="H25" s="52" t="s">
        <v>30</v>
      </c>
      <c r="I25" s="52" t="s">
        <v>31</v>
      </c>
      <c r="J25" s="52" t="s">
        <v>30</v>
      </c>
      <c r="K25" s="52" t="s">
        <v>30</v>
      </c>
      <c r="L25" s="52" t="s">
        <v>31</v>
      </c>
      <c r="M25" s="52" t="s">
        <v>30</v>
      </c>
      <c r="N25" s="52" t="s">
        <v>29</v>
      </c>
      <c r="O25" s="52" t="s">
        <v>32</v>
      </c>
      <c r="P25" s="52" t="s">
        <v>28</v>
      </c>
      <c r="Q25" s="52" t="s">
        <v>29</v>
      </c>
      <c r="R25" s="52" t="s">
        <v>28</v>
      </c>
      <c r="S25" s="52" t="s">
        <v>30</v>
      </c>
      <c r="T25" s="52" t="s">
        <v>337</v>
      </c>
      <c r="U25" s="52" t="s">
        <v>28</v>
      </c>
      <c r="V25" s="52" t="s">
        <v>30</v>
      </c>
      <c r="W25" s="52" t="s">
        <v>30</v>
      </c>
      <c r="X25" s="52" t="s">
        <v>28</v>
      </c>
    </row>
    <row r="26" ht="15.75" customHeight="1">
      <c r="A26" s="53">
        <v>21.0</v>
      </c>
      <c r="B26" s="54" t="s">
        <v>71</v>
      </c>
      <c r="C26" s="55" t="s">
        <v>72</v>
      </c>
      <c r="D26" s="56">
        <f t="shared" si="2"/>
        <v>5</v>
      </c>
      <c r="E26" s="51" t="s">
        <v>28</v>
      </c>
      <c r="F26" s="52" t="s">
        <v>29</v>
      </c>
      <c r="G26" s="52" t="s">
        <v>32</v>
      </c>
      <c r="H26" s="52" t="s">
        <v>28</v>
      </c>
      <c r="I26" s="52" t="s">
        <v>30</v>
      </c>
      <c r="J26" s="52" t="s">
        <v>28</v>
      </c>
      <c r="K26" s="52" t="s">
        <v>30</v>
      </c>
      <c r="L26" s="52" t="s">
        <v>30</v>
      </c>
      <c r="M26" s="52" t="s">
        <v>28</v>
      </c>
      <c r="N26" s="52" t="s">
        <v>31</v>
      </c>
      <c r="O26" s="52" t="s">
        <v>32</v>
      </c>
      <c r="P26" s="52" t="s">
        <v>28</v>
      </c>
      <c r="Q26" s="52" t="s">
        <v>31</v>
      </c>
      <c r="R26" s="52" t="s">
        <v>31</v>
      </c>
      <c r="S26" s="52" t="s">
        <v>30</v>
      </c>
      <c r="T26" s="52" t="s">
        <v>337</v>
      </c>
      <c r="U26" s="52" t="s">
        <v>31</v>
      </c>
      <c r="V26" s="52" t="s">
        <v>28</v>
      </c>
      <c r="W26" s="52" t="s">
        <v>29</v>
      </c>
      <c r="X26" s="52" t="s">
        <v>30</v>
      </c>
    </row>
    <row r="27" ht="15.75" customHeight="1">
      <c r="A27" s="53">
        <v>22.0</v>
      </c>
      <c r="B27" s="54" t="s">
        <v>73</v>
      </c>
      <c r="C27" s="55" t="s">
        <v>74</v>
      </c>
      <c r="D27" s="56">
        <f t="shared" si="2"/>
        <v>4</v>
      </c>
      <c r="E27" s="51" t="s">
        <v>31</v>
      </c>
      <c r="F27" s="52" t="s">
        <v>28</v>
      </c>
      <c r="G27" s="52" t="s">
        <v>32</v>
      </c>
      <c r="H27" s="52" t="s">
        <v>28</v>
      </c>
      <c r="I27" s="52" t="s">
        <v>28</v>
      </c>
      <c r="J27" s="52" t="s">
        <v>29</v>
      </c>
      <c r="K27" s="52" t="s">
        <v>28</v>
      </c>
      <c r="L27" s="52" t="s">
        <v>30</v>
      </c>
      <c r="M27" s="52" t="s">
        <v>28</v>
      </c>
      <c r="N27" s="52" t="s">
        <v>28</v>
      </c>
      <c r="O27" s="52" t="s">
        <v>29</v>
      </c>
      <c r="P27" s="52" t="s">
        <v>28</v>
      </c>
      <c r="Q27" s="52" t="s">
        <v>30</v>
      </c>
      <c r="R27" s="52" t="s">
        <v>28</v>
      </c>
      <c r="S27" s="52" t="s">
        <v>28</v>
      </c>
      <c r="T27" s="52" t="s">
        <v>337</v>
      </c>
      <c r="U27" s="52" t="s">
        <v>28</v>
      </c>
      <c r="V27" s="52" t="s">
        <v>29</v>
      </c>
      <c r="W27" s="52" t="s">
        <v>31</v>
      </c>
      <c r="X27" s="52" t="s">
        <v>30</v>
      </c>
    </row>
    <row r="28" ht="15.75" customHeight="1">
      <c r="A28" s="53">
        <v>23.0</v>
      </c>
      <c r="B28" s="54" t="s">
        <v>75</v>
      </c>
      <c r="C28" s="55" t="s">
        <v>76</v>
      </c>
      <c r="D28" s="56">
        <f t="shared" si="2"/>
        <v>5.5</v>
      </c>
      <c r="E28" s="51" t="s">
        <v>29</v>
      </c>
      <c r="F28" s="52" t="s">
        <v>29</v>
      </c>
      <c r="G28" s="52" t="s">
        <v>28</v>
      </c>
      <c r="H28" s="52" t="s">
        <v>28</v>
      </c>
      <c r="I28" s="52" t="s">
        <v>32</v>
      </c>
      <c r="J28" s="52" t="s">
        <v>29</v>
      </c>
      <c r="K28" s="52" t="s">
        <v>31</v>
      </c>
      <c r="L28" s="52" t="s">
        <v>28</v>
      </c>
      <c r="M28" s="52" t="s">
        <v>28</v>
      </c>
      <c r="N28" s="52" t="s">
        <v>30</v>
      </c>
      <c r="O28" s="52" t="s">
        <v>32</v>
      </c>
      <c r="P28" s="52" t="s">
        <v>28</v>
      </c>
      <c r="Q28" s="52" t="s">
        <v>31</v>
      </c>
      <c r="R28" s="52" t="s">
        <v>31</v>
      </c>
      <c r="S28" s="52" t="s">
        <v>31</v>
      </c>
      <c r="T28" s="52" t="s">
        <v>337</v>
      </c>
      <c r="U28" s="52" t="s">
        <v>31</v>
      </c>
      <c r="V28" s="52" t="s">
        <v>28</v>
      </c>
      <c r="W28" s="52" t="s">
        <v>30</v>
      </c>
      <c r="X28" s="52" t="s">
        <v>30</v>
      </c>
    </row>
    <row r="29" ht="15.75" customHeight="1">
      <c r="A29" s="53">
        <v>24.0</v>
      </c>
      <c r="B29" s="54" t="s">
        <v>77</v>
      </c>
      <c r="C29" s="57" t="s">
        <v>78</v>
      </c>
      <c r="D29" s="56">
        <f t="shared" si="2"/>
        <v>1</v>
      </c>
      <c r="E29" s="51" t="s">
        <v>28</v>
      </c>
      <c r="F29" s="52" t="s">
        <v>30</v>
      </c>
      <c r="G29" s="52" t="s">
        <v>29</v>
      </c>
      <c r="H29" s="52" t="s">
        <v>29</v>
      </c>
      <c r="I29" s="52" t="s">
        <v>32</v>
      </c>
      <c r="J29" s="52" t="s">
        <v>30</v>
      </c>
      <c r="K29" s="52" t="s">
        <v>28</v>
      </c>
      <c r="L29" s="52" t="s">
        <v>32</v>
      </c>
      <c r="M29" s="52" t="s">
        <v>28</v>
      </c>
      <c r="N29" s="52" t="s">
        <v>28</v>
      </c>
      <c r="O29" s="52" t="s">
        <v>29</v>
      </c>
      <c r="P29" s="52" t="s">
        <v>29</v>
      </c>
      <c r="Q29" s="52" t="s">
        <v>28</v>
      </c>
      <c r="R29" s="52" t="s">
        <v>30</v>
      </c>
      <c r="S29" s="52" t="s">
        <v>28</v>
      </c>
      <c r="T29" s="52" t="s">
        <v>337</v>
      </c>
      <c r="U29" s="52" t="s">
        <v>32</v>
      </c>
      <c r="V29" s="52" t="s">
        <v>28</v>
      </c>
      <c r="W29" s="52" t="s">
        <v>30</v>
      </c>
      <c r="X29" s="52" t="s">
        <v>28</v>
      </c>
    </row>
    <row r="30" ht="15.75" customHeight="1">
      <c r="A30" s="53">
        <v>25.0</v>
      </c>
      <c r="B30" s="54" t="s">
        <v>79</v>
      </c>
      <c r="C30" s="55" t="s">
        <v>80</v>
      </c>
      <c r="D30" s="56">
        <f t="shared" si="2"/>
        <v>5</v>
      </c>
      <c r="E30" s="51" t="s">
        <v>28</v>
      </c>
      <c r="F30" s="52" t="s">
        <v>28</v>
      </c>
      <c r="G30" s="52" t="s">
        <v>28</v>
      </c>
      <c r="H30" s="52" t="s">
        <v>28</v>
      </c>
      <c r="I30" s="52" t="s">
        <v>30</v>
      </c>
      <c r="J30" s="52" t="s">
        <v>30</v>
      </c>
      <c r="K30" s="52" t="s">
        <v>31</v>
      </c>
      <c r="L30" s="52" t="s">
        <v>31</v>
      </c>
      <c r="M30" s="52" t="s">
        <v>28</v>
      </c>
      <c r="N30" s="52" t="s">
        <v>28</v>
      </c>
      <c r="O30" s="52" t="s">
        <v>31</v>
      </c>
      <c r="P30" s="52" t="s">
        <v>28</v>
      </c>
      <c r="Q30" s="52" t="s">
        <v>31</v>
      </c>
      <c r="R30" s="52" t="s">
        <v>31</v>
      </c>
      <c r="S30" s="52" t="s">
        <v>29</v>
      </c>
      <c r="T30" s="52" t="s">
        <v>337</v>
      </c>
      <c r="U30" s="52" t="s">
        <v>31</v>
      </c>
      <c r="V30" s="52" t="s">
        <v>31</v>
      </c>
      <c r="W30" s="52" t="s">
        <v>32</v>
      </c>
      <c r="X30" s="52" t="s">
        <v>29</v>
      </c>
    </row>
    <row r="31" ht="15.75" customHeight="1">
      <c r="A31" s="53">
        <v>26.0</v>
      </c>
      <c r="B31" s="54" t="s">
        <v>81</v>
      </c>
      <c r="C31" s="55" t="s">
        <v>82</v>
      </c>
      <c r="D31" s="56">
        <f t="shared" si="2"/>
        <v>5.5</v>
      </c>
      <c r="E31" s="51" t="s">
        <v>28</v>
      </c>
      <c r="F31" s="52" t="s">
        <v>28</v>
      </c>
      <c r="G31" s="52" t="s">
        <v>31</v>
      </c>
      <c r="H31" s="52" t="s">
        <v>28</v>
      </c>
      <c r="I31" s="52" t="s">
        <v>29</v>
      </c>
      <c r="J31" s="52" t="s">
        <v>32</v>
      </c>
      <c r="K31" s="52" t="s">
        <v>31</v>
      </c>
      <c r="L31" s="52" t="s">
        <v>28</v>
      </c>
      <c r="M31" s="52" t="s">
        <v>28</v>
      </c>
      <c r="N31" s="52" t="s">
        <v>30</v>
      </c>
      <c r="O31" s="52" t="s">
        <v>32</v>
      </c>
      <c r="P31" s="52" t="s">
        <v>28</v>
      </c>
      <c r="Q31" s="52" t="s">
        <v>31</v>
      </c>
      <c r="R31" s="52" t="s">
        <v>31</v>
      </c>
      <c r="S31" s="52" t="s">
        <v>31</v>
      </c>
      <c r="T31" s="52" t="s">
        <v>337</v>
      </c>
      <c r="U31" s="52" t="s">
        <v>31</v>
      </c>
      <c r="V31" s="52" t="s">
        <v>32</v>
      </c>
      <c r="W31" s="52" t="s">
        <v>30</v>
      </c>
      <c r="X31" s="52" t="s">
        <v>30</v>
      </c>
    </row>
    <row r="32" ht="15.75" customHeight="1">
      <c r="A32" s="53">
        <v>27.0</v>
      </c>
      <c r="B32" s="54" t="s">
        <v>83</v>
      </c>
      <c r="C32" s="55" t="s">
        <v>84</v>
      </c>
      <c r="D32" s="56">
        <f t="shared" si="2"/>
        <v>8</v>
      </c>
      <c r="E32" s="51" t="s">
        <v>29</v>
      </c>
      <c r="F32" s="52" t="s">
        <v>28</v>
      </c>
      <c r="G32" s="52" t="s">
        <v>29</v>
      </c>
      <c r="H32" s="52" t="s">
        <v>28</v>
      </c>
      <c r="I32" s="52" t="s">
        <v>28</v>
      </c>
      <c r="J32" s="52" t="s">
        <v>28</v>
      </c>
      <c r="K32" s="52" t="s">
        <v>31</v>
      </c>
      <c r="L32" s="52" t="s">
        <v>31</v>
      </c>
      <c r="M32" s="52" t="s">
        <v>28</v>
      </c>
      <c r="N32" s="52" t="s">
        <v>30</v>
      </c>
      <c r="O32" s="52" t="s">
        <v>32</v>
      </c>
      <c r="P32" s="52" t="s">
        <v>28</v>
      </c>
      <c r="Q32" s="52" t="s">
        <v>31</v>
      </c>
      <c r="R32" s="52" t="s">
        <v>28</v>
      </c>
      <c r="S32" s="52" t="s">
        <v>30</v>
      </c>
      <c r="T32" s="52" t="s">
        <v>337</v>
      </c>
      <c r="U32" s="52" t="s">
        <v>31</v>
      </c>
      <c r="V32" s="52" t="s">
        <v>30</v>
      </c>
      <c r="W32" s="52" t="s">
        <v>31</v>
      </c>
      <c r="X32" s="52" t="s">
        <v>32</v>
      </c>
    </row>
    <row r="33" ht="15.75" customHeight="1">
      <c r="A33" s="53">
        <v>28.0</v>
      </c>
      <c r="B33" s="54" t="s">
        <v>85</v>
      </c>
      <c r="C33" s="55" t="s">
        <v>86</v>
      </c>
      <c r="D33" s="56">
        <f t="shared" si="2"/>
        <v>5.5</v>
      </c>
      <c r="E33" s="51" t="s">
        <v>28</v>
      </c>
      <c r="F33" s="52" t="s">
        <v>28</v>
      </c>
      <c r="G33" s="52" t="s">
        <v>32</v>
      </c>
      <c r="H33" s="52" t="s">
        <v>28</v>
      </c>
      <c r="I33" s="52" t="s">
        <v>30</v>
      </c>
      <c r="J33" s="52" t="s">
        <v>31</v>
      </c>
      <c r="K33" s="52" t="s">
        <v>31</v>
      </c>
      <c r="L33" s="52" t="s">
        <v>28</v>
      </c>
      <c r="M33" s="52" t="s">
        <v>28</v>
      </c>
      <c r="N33" s="52" t="s">
        <v>29</v>
      </c>
      <c r="O33" s="52" t="s">
        <v>28</v>
      </c>
      <c r="P33" s="52" t="s">
        <v>28</v>
      </c>
      <c r="Q33" s="52" t="s">
        <v>31</v>
      </c>
      <c r="R33" s="52" t="s">
        <v>31</v>
      </c>
      <c r="S33" s="52" t="s">
        <v>30</v>
      </c>
      <c r="T33" s="52" t="s">
        <v>337</v>
      </c>
      <c r="U33" s="52" t="s">
        <v>31</v>
      </c>
      <c r="V33" s="52" t="s">
        <v>28</v>
      </c>
      <c r="W33" s="52" t="s">
        <v>31</v>
      </c>
      <c r="X33" s="52" t="s">
        <v>30</v>
      </c>
    </row>
    <row r="34" ht="15.75" customHeight="1">
      <c r="A34" s="53">
        <v>29.0</v>
      </c>
      <c r="B34" s="54" t="s">
        <v>87</v>
      </c>
      <c r="C34" s="55" t="s">
        <v>88</v>
      </c>
      <c r="D34" s="56">
        <f t="shared" si="2"/>
        <v>3</v>
      </c>
      <c r="E34" s="51" t="s">
        <v>28</v>
      </c>
      <c r="F34" s="52" t="s">
        <v>28</v>
      </c>
      <c r="G34" s="52" t="s">
        <v>28</v>
      </c>
      <c r="H34" s="52" t="s">
        <v>28</v>
      </c>
      <c r="I34" s="52" t="s">
        <v>32</v>
      </c>
      <c r="J34" s="52" t="s">
        <v>32</v>
      </c>
      <c r="K34" s="52" t="s">
        <v>30</v>
      </c>
      <c r="L34" s="52" t="s">
        <v>28</v>
      </c>
      <c r="M34" s="52" t="s">
        <v>31</v>
      </c>
      <c r="N34" s="52" t="s">
        <v>32</v>
      </c>
      <c r="O34" s="52" t="s">
        <v>32</v>
      </c>
      <c r="P34" s="52" t="s">
        <v>28</v>
      </c>
      <c r="Q34" s="52" t="s">
        <v>30</v>
      </c>
      <c r="R34" s="52" t="s">
        <v>31</v>
      </c>
      <c r="S34" s="52" t="s">
        <v>31</v>
      </c>
      <c r="T34" s="52" t="s">
        <v>337</v>
      </c>
      <c r="U34" s="52" t="s">
        <v>28</v>
      </c>
      <c r="V34" s="52" t="s">
        <v>28</v>
      </c>
      <c r="W34" s="52" t="s">
        <v>32</v>
      </c>
      <c r="X34" s="52" t="s">
        <v>30</v>
      </c>
    </row>
    <row r="35" ht="15.75" customHeight="1">
      <c r="A35" s="53">
        <v>30.0</v>
      </c>
      <c r="B35" s="54" t="s">
        <v>89</v>
      </c>
      <c r="C35" s="55" t="s">
        <v>90</v>
      </c>
      <c r="D35" s="56">
        <f t="shared" si="2"/>
        <v>6.5</v>
      </c>
      <c r="E35" s="51" t="s">
        <v>29</v>
      </c>
      <c r="F35" s="52" t="s">
        <v>28</v>
      </c>
      <c r="G35" s="52" t="s">
        <v>30</v>
      </c>
      <c r="H35" s="52" t="s">
        <v>28</v>
      </c>
      <c r="I35" s="52" t="s">
        <v>32</v>
      </c>
      <c r="J35" s="52" t="s">
        <v>28</v>
      </c>
      <c r="K35" s="52" t="s">
        <v>29</v>
      </c>
      <c r="L35" s="52" t="s">
        <v>31</v>
      </c>
      <c r="M35" s="52" t="s">
        <v>28</v>
      </c>
      <c r="N35" s="52" t="s">
        <v>29</v>
      </c>
      <c r="O35" s="52" t="s">
        <v>32</v>
      </c>
      <c r="P35" s="52" t="s">
        <v>28</v>
      </c>
      <c r="Q35" s="52" t="s">
        <v>31</v>
      </c>
      <c r="R35" s="52" t="s">
        <v>32</v>
      </c>
      <c r="S35" s="52" t="s">
        <v>29</v>
      </c>
      <c r="T35" s="52" t="s">
        <v>337</v>
      </c>
      <c r="U35" s="52" t="s">
        <v>31</v>
      </c>
      <c r="V35" s="52" t="s">
        <v>28</v>
      </c>
      <c r="W35" s="52" t="s">
        <v>32</v>
      </c>
      <c r="X35" s="52" t="s">
        <v>28</v>
      </c>
    </row>
    <row r="36" ht="15.75" customHeight="1">
      <c r="A36" s="53">
        <v>31.0</v>
      </c>
      <c r="B36" s="54" t="s">
        <v>91</v>
      </c>
      <c r="C36" s="55" t="s">
        <v>92</v>
      </c>
      <c r="D36" s="56">
        <f t="shared" si="2"/>
        <v>5.5</v>
      </c>
      <c r="E36" s="51" t="s">
        <v>28</v>
      </c>
      <c r="F36" s="52" t="s">
        <v>29</v>
      </c>
      <c r="G36" s="52" t="s">
        <v>31</v>
      </c>
      <c r="H36" s="52" t="s">
        <v>28</v>
      </c>
      <c r="I36" s="52" t="s">
        <v>32</v>
      </c>
      <c r="J36" s="52" t="s">
        <v>30</v>
      </c>
      <c r="K36" s="52" t="s">
        <v>31</v>
      </c>
      <c r="L36" s="52" t="s">
        <v>31</v>
      </c>
      <c r="M36" s="52" t="s">
        <v>28</v>
      </c>
      <c r="N36" s="52" t="s">
        <v>30</v>
      </c>
      <c r="O36" s="52" t="s">
        <v>32</v>
      </c>
      <c r="P36" s="52" t="s">
        <v>28</v>
      </c>
      <c r="Q36" s="52" t="s">
        <v>31</v>
      </c>
      <c r="R36" s="52" t="s">
        <v>31</v>
      </c>
      <c r="S36" s="52" t="s">
        <v>29</v>
      </c>
      <c r="T36" s="52" t="s">
        <v>337</v>
      </c>
      <c r="U36" s="52" t="s">
        <v>31</v>
      </c>
      <c r="V36" s="52" t="s">
        <v>31</v>
      </c>
      <c r="W36" s="52" t="s">
        <v>32</v>
      </c>
      <c r="X36" s="52" t="s">
        <v>32</v>
      </c>
    </row>
    <row r="37" ht="15.75" customHeight="1">
      <c r="A37" s="59">
        <v>32.0</v>
      </c>
      <c r="B37" s="60" t="s">
        <v>93</v>
      </c>
      <c r="C37" s="55" t="s">
        <v>94</v>
      </c>
      <c r="D37" s="56">
        <f t="shared" si="2"/>
        <v>4.5</v>
      </c>
      <c r="E37" s="51" t="s">
        <v>30</v>
      </c>
      <c r="F37" s="52" t="s">
        <v>28</v>
      </c>
      <c r="G37" s="52" t="s">
        <v>29</v>
      </c>
      <c r="H37" s="52" t="s">
        <v>28</v>
      </c>
      <c r="I37" s="52" t="s">
        <v>29</v>
      </c>
      <c r="J37" s="52" t="s">
        <v>30</v>
      </c>
      <c r="K37" s="52" t="s">
        <v>31</v>
      </c>
      <c r="L37" s="52" t="s">
        <v>30</v>
      </c>
      <c r="M37" s="52" t="s">
        <v>28</v>
      </c>
      <c r="N37" s="52" t="s">
        <v>29</v>
      </c>
      <c r="O37" s="52" t="s">
        <v>30</v>
      </c>
      <c r="P37" s="52" t="s">
        <v>28</v>
      </c>
      <c r="Q37" s="52" t="s">
        <v>31</v>
      </c>
      <c r="R37" s="52" t="s">
        <v>28</v>
      </c>
      <c r="S37" s="52" t="s">
        <v>30</v>
      </c>
      <c r="T37" s="52" t="s">
        <v>337</v>
      </c>
      <c r="U37" s="52" t="s">
        <v>32</v>
      </c>
      <c r="V37" s="52" t="s">
        <v>31</v>
      </c>
      <c r="W37" s="52" t="s">
        <v>28</v>
      </c>
      <c r="X37" s="52" t="s">
        <v>32</v>
      </c>
    </row>
    <row r="38" ht="15.75" customHeight="1">
      <c r="A38" s="59">
        <v>33.0</v>
      </c>
      <c r="B38" s="60" t="s">
        <v>95</v>
      </c>
      <c r="C38" s="55" t="s">
        <v>96</v>
      </c>
      <c r="D38" s="56">
        <f t="shared" si="2"/>
        <v>5.5</v>
      </c>
      <c r="E38" s="51" t="s">
        <v>31</v>
      </c>
      <c r="F38" s="52" t="s">
        <v>28</v>
      </c>
      <c r="G38" s="52" t="s">
        <v>29</v>
      </c>
      <c r="H38" s="52" t="s">
        <v>28</v>
      </c>
      <c r="I38" s="52" t="s">
        <v>32</v>
      </c>
      <c r="J38" s="52" t="s">
        <v>28</v>
      </c>
      <c r="K38" s="52" t="s">
        <v>31</v>
      </c>
      <c r="L38" s="52" t="s">
        <v>31</v>
      </c>
      <c r="M38" s="52" t="s">
        <v>30</v>
      </c>
      <c r="N38" s="52" t="s">
        <v>29</v>
      </c>
      <c r="O38" s="52" t="s">
        <v>32</v>
      </c>
      <c r="P38" s="52" t="s">
        <v>28</v>
      </c>
      <c r="Q38" s="52" t="s">
        <v>31</v>
      </c>
      <c r="R38" s="52" t="s">
        <v>30</v>
      </c>
      <c r="S38" s="52" t="s">
        <v>29</v>
      </c>
      <c r="T38" s="52" t="s">
        <v>337</v>
      </c>
      <c r="U38" s="52" t="s">
        <v>31</v>
      </c>
      <c r="V38" s="52" t="s">
        <v>28</v>
      </c>
      <c r="W38" s="52" t="s">
        <v>31</v>
      </c>
      <c r="X38" s="52" t="s">
        <v>32</v>
      </c>
    </row>
    <row r="39" ht="15.75" customHeight="1">
      <c r="A39" s="59">
        <v>34.0</v>
      </c>
      <c r="B39" s="60" t="s">
        <v>97</v>
      </c>
      <c r="C39" s="55" t="s">
        <v>98</v>
      </c>
      <c r="D39" s="56">
        <f t="shared" si="2"/>
        <v>6.5</v>
      </c>
      <c r="E39" s="51" t="s">
        <v>28</v>
      </c>
      <c r="F39" s="52" t="s">
        <v>28</v>
      </c>
      <c r="G39" s="52" t="s">
        <v>29</v>
      </c>
      <c r="H39" s="52" t="s">
        <v>28</v>
      </c>
      <c r="I39" s="52" t="s">
        <v>28</v>
      </c>
      <c r="J39" s="52" t="s">
        <v>29</v>
      </c>
      <c r="K39" s="52" t="s">
        <v>31</v>
      </c>
      <c r="L39" s="52" t="s">
        <v>31</v>
      </c>
      <c r="M39" s="52" t="s">
        <v>30</v>
      </c>
      <c r="N39" s="52" t="s">
        <v>30</v>
      </c>
      <c r="O39" s="52" t="s">
        <v>32</v>
      </c>
      <c r="P39" s="52" t="s">
        <v>28</v>
      </c>
      <c r="Q39" s="52" t="s">
        <v>31</v>
      </c>
      <c r="R39" s="52" t="s">
        <v>30</v>
      </c>
      <c r="S39" s="52" t="s">
        <v>30</v>
      </c>
      <c r="T39" s="52" t="s">
        <v>337</v>
      </c>
      <c r="U39" s="52" t="s">
        <v>31</v>
      </c>
      <c r="V39" s="52" t="s">
        <v>31</v>
      </c>
      <c r="W39" s="52" t="s">
        <v>29</v>
      </c>
      <c r="X39" s="52" t="s">
        <v>28</v>
      </c>
    </row>
    <row r="40" ht="15.75" customHeight="1">
      <c r="A40" s="59">
        <v>35.0</v>
      </c>
      <c r="B40" s="60" t="s">
        <v>99</v>
      </c>
      <c r="C40" s="55" t="s">
        <v>100</v>
      </c>
      <c r="D40" s="56">
        <f t="shared" si="2"/>
        <v>4.5</v>
      </c>
      <c r="E40" s="51" t="s">
        <v>29</v>
      </c>
      <c r="F40" s="52" t="s">
        <v>28</v>
      </c>
      <c r="G40" s="52" t="s">
        <v>31</v>
      </c>
      <c r="H40" s="52" t="s">
        <v>28</v>
      </c>
      <c r="I40" s="52" t="s">
        <v>32</v>
      </c>
      <c r="J40" s="52" t="s">
        <v>28</v>
      </c>
      <c r="K40" s="52" t="s">
        <v>30</v>
      </c>
      <c r="L40" s="52" t="s">
        <v>30</v>
      </c>
      <c r="M40" s="52" t="s">
        <v>28</v>
      </c>
      <c r="N40" s="52" t="s">
        <v>31</v>
      </c>
      <c r="O40" s="52" t="s">
        <v>28</v>
      </c>
      <c r="P40" s="52" t="s">
        <v>28</v>
      </c>
      <c r="Q40" s="52" t="s">
        <v>31</v>
      </c>
      <c r="R40" s="52" t="s">
        <v>29</v>
      </c>
      <c r="S40" s="52" t="s">
        <v>29</v>
      </c>
      <c r="T40" s="52" t="s">
        <v>30</v>
      </c>
      <c r="U40" s="52" t="s">
        <v>31</v>
      </c>
      <c r="V40" s="52" t="s">
        <v>31</v>
      </c>
      <c r="W40" s="52" t="s">
        <v>29</v>
      </c>
      <c r="X40" s="52" t="s">
        <v>28</v>
      </c>
    </row>
    <row r="41" ht="15.75" customHeight="1">
      <c r="A41" s="59">
        <v>36.0</v>
      </c>
      <c r="B41" s="60" t="s">
        <v>101</v>
      </c>
      <c r="C41" s="55" t="s">
        <v>102</v>
      </c>
      <c r="D41" s="56">
        <f t="shared" si="2"/>
        <v>7</v>
      </c>
      <c r="E41" s="51" t="s">
        <v>28</v>
      </c>
      <c r="F41" s="52" t="s">
        <v>29</v>
      </c>
      <c r="G41" s="52" t="s">
        <v>30</v>
      </c>
      <c r="H41" s="52" t="s">
        <v>28</v>
      </c>
      <c r="I41" s="52" t="s">
        <v>30</v>
      </c>
      <c r="J41" s="52" t="s">
        <v>28</v>
      </c>
      <c r="K41" s="52" t="s">
        <v>31</v>
      </c>
      <c r="L41" s="52" t="s">
        <v>31</v>
      </c>
      <c r="M41" s="52" t="s">
        <v>28</v>
      </c>
      <c r="N41" s="52" t="s">
        <v>30</v>
      </c>
      <c r="O41" s="52" t="s">
        <v>32</v>
      </c>
      <c r="P41" s="52" t="s">
        <v>28</v>
      </c>
      <c r="Q41" s="52" t="s">
        <v>31</v>
      </c>
      <c r="R41" s="52" t="s">
        <v>32</v>
      </c>
      <c r="S41" s="52" t="s">
        <v>29</v>
      </c>
      <c r="T41" s="52" t="s">
        <v>337</v>
      </c>
      <c r="U41" s="52" t="s">
        <v>31</v>
      </c>
      <c r="V41" s="52" t="s">
        <v>28</v>
      </c>
      <c r="W41" s="52" t="s">
        <v>31</v>
      </c>
      <c r="X41" s="52" t="s">
        <v>29</v>
      </c>
    </row>
    <row r="42" ht="15.75" customHeight="1">
      <c r="A42" s="59">
        <v>37.0</v>
      </c>
      <c r="B42" s="60" t="s">
        <v>103</v>
      </c>
      <c r="C42" s="55" t="s">
        <v>104</v>
      </c>
      <c r="D42" s="56">
        <f t="shared" si="2"/>
        <v>7.5</v>
      </c>
      <c r="E42" s="51" t="s">
        <v>28</v>
      </c>
      <c r="F42" s="52" t="s">
        <v>28</v>
      </c>
      <c r="G42" s="52" t="s">
        <v>30</v>
      </c>
      <c r="H42" s="52" t="s">
        <v>28</v>
      </c>
      <c r="I42" s="52" t="s">
        <v>28</v>
      </c>
      <c r="J42" s="52" t="s">
        <v>28</v>
      </c>
      <c r="K42" s="52" t="s">
        <v>31</v>
      </c>
      <c r="L42" s="52" t="s">
        <v>31</v>
      </c>
      <c r="M42" s="52" t="s">
        <v>28</v>
      </c>
      <c r="N42" s="52" t="s">
        <v>30</v>
      </c>
      <c r="O42" s="52" t="s">
        <v>32</v>
      </c>
      <c r="P42" s="52" t="s">
        <v>28</v>
      </c>
      <c r="Q42" s="52" t="s">
        <v>31</v>
      </c>
      <c r="R42" s="52" t="s">
        <v>31</v>
      </c>
      <c r="S42" s="52" t="s">
        <v>29</v>
      </c>
      <c r="T42" s="52" t="s">
        <v>337</v>
      </c>
      <c r="U42" s="52" t="s">
        <v>31</v>
      </c>
      <c r="V42" s="52" t="s">
        <v>31</v>
      </c>
      <c r="W42" s="52" t="s">
        <v>29</v>
      </c>
      <c r="X42" s="52" t="s">
        <v>28</v>
      </c>
    </row>
    <row r="43" ht="15.75" customHeight="1">
      <c r="A43" s="61">
        <v>38.0</v>
      </c>
      <c r="B43" s="62" t="s">
        <v>105</v>
      </c>
      <c r="C43" s="63" t="s">
        <v>106</v>
      </c>
      <c r="D43" s="64"/>
      <c r="E43" s="51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ht="15.75" customHeight="1">
      <c r="A44" s="65"/>
      <c r="B44" s="66"/>
      <c r="C44" s="67" t="s">
        <v>343</v>
      </c>
      <c r="D44" s="68">
        <f>B102</f>
        <v>5.514285714</v>
      </c>
      <c r="E44" s="69"/>
      <c r="F44" s="69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 ht="15.75" customHeight="1">
      <c r="A45" s="65"/>
      <c r="B45" s="66"/>
      <c r="C45" s="71" t="s">
        <v>344</v>
      </c>
      <c r="D45" s="24"/>
      <c r="E45" s="72">
        <f>COUNTIF(E6:E43,"A")</f>
        <v>10</v>
      </c>
      <c r="F45" s="72">
        <f>COUNTIF(F6:F43,"B")</f>
        <v>25</v>
      </c>
      <c r="G45" s="72">
        <f>COUNTIF(G6:G43,"C")</f>
        <v>7</v>
      </c>
      <c r="H45" s="72">
        <f t="shared" ref="H45:J45" si="3">COUNTIF(H6:H43,"B")</f>
        <v>32</v>
      </c>
      <c r="I45" s="72">
        <f t="shared" si="3"/>
        <v>13</v>
      </c>
      <c r="J45" s="72">
        <f t="shared" si="3"/>
        <v>12</v>
      </c>
      <c r="K45" s="72">
        <f t="shared" ref="K45:L45" si="4">COUNTIF(K6:K43,"D")</f>
        <v>18</v>
      </c>
      <c r="L45" s="72">
        <f t="shared" si="4"/>
        <v>18</v>
      </c>
      <c r="M45" s="72">
        <f>COUNTIF(M6:M43,"B")</f>
        <v>27</v>
      </c>
      <c r="N45" s="72">
        <f>COUNTIF(N6:N43,"C")</f>
        <v>18</v>
      </c>
      <c r="O45" s="72">
        <f>COUNTIF(O6:O43,"E")</f>
        <v>27</v>
      </c>
      <c r="P45" s="72">
        <f>COUNTIF(P6:P43,"B")</f>
        <v>33</v>
      </c>
      <c r="Q45" s="72">
        <f>COUNTIF(Q6:Q43,"D")</f>
        <v>29</v>
      </c>
      <c r="R45" s="72">
        <f>COUNTIF(R6:R43,"E")</f>
        <v>8</v>
      </c>
      <c r="S45" s="72">
        <f>COUNTIF(S6:S43,"C")</f>
        <v>15</v>
      </c>
      <c r="T45" s="72">
        <f>COUNTIF(T6:T43,"##")</f>
        <v>35</v>
      </c>
      <c r="U45" s="72">
        <f t="shared" ref="U45:W45" si="5">COUNTIF(U6:U43,"D")</f>
        <v>27</v>
      </c>
      <c r="V45" s="72">
        <f t="shared" si="5"/>
        <v>11</v>
      </c>
      <c r="W45" s="72">
        <f t="shared" si="5"/>
        <v>12</v>
      </c>
      <c r="X45" s="72">
        <f>COUNTIF(X6:X43,"C")</f>
        <v>9</v>
      </c>
    </row>
    <row r="46" ht="15.75" customHeight="1">
      <c r="A46" s="65"/>
      <c r="B46" s="66"/>
      <c r="C46" s="71" t="s">
        <v>345</v>
      </c>
      <c r="D46" s="24"/>
      <c r="E46" s="73">
        <f t="shared" ref="E46:X46" si="6">(E45)/36</f>
        <v>0.2777777778</v>
      </c>
      <c r="F46" s="73">
        <f t="shared" si="6"/>
        <v>0.6944444444</v>
      </c>
      <c r="G46" s="73">
        <f t="shared" si="6"/>
        <v>0.1944444444</v>
      </c>
      <c r="H46" s="73">
        <f t="shared" si="6"/>
        <v>0.8888888889</v>
      </c>
      <c r="I46" s="73">
        <f t="shared" si="6"/>
        <v>0.3611111111</v>
      </c>
      <c r="J46" s="73">
        <f t="shared" si="6"/>
        <v>0.3333333333</v>
      </c>
      <c r="K46" s="73">
        <f t="shared" si="6"/>
        <v>0.5</v>
      </c>
      <c r="L46" s="73">
        <f t="shared" si="6"/>
        <v>0.5</v>
      </c>
      <c r="M46" s="73">
        <f t="shared" si="6"/>
        <v>0.75</v>
      </c>
      <c r="N46" s="73">
        <f t="shared" si="6"/>
        <v>0.5</v>
      </c>
      <c r="O46" s="73">
        <f t="shared" si="6"/>
        <v>0.75</v>
      </c>
      <c r="P46" s="73">
        <f t="shared" si="6"/>
        <v>0.9166666667</v>
      </c>
      <c r="Q46" s="73">
        <f t="shared" si="6"/>
        <v>0.8055555556</v>
      </c>
      <c r="R46" s="73">
        <f t="shared" si="6"/>
        <v>0.2222222222</v>
      </c>
      <c r="S46" s="73">
        <f t="shared" si="6"/>
        <v>0.4166666667</v>
      </c>
      <c r="T46" s="73">
        <f t="shared" si="6"/>
        <v>0.9722222222</v>
      </c>
      <c r="U46" s="73">
        <f t="shared" si="6"/>
        <v>0.75</v>
      </c>
      <c r="V46" s="73">
        <f t="shared" si="6"/>
        <v>0.3055555556</v>
      </c>
      <c r="W46" s="73">
        <f t="shared" si="6"/>
        <v>0.3333333333</v>
      </c>
      <c r="X46" s="73">
        <f t="shared" si="6"/>
        <v>0.25</v>
      </c>
    </row>
    <row r="47" ht="15.75" customHeight="1">
      <c r="A47" s="65"/>
      <c r="B47" s="66"/>
      <c r="C47" s="71" t="s">
        <v>346</v>
      </c>
      <c r="D47" s="24"/>
      <c r="E47" s="72">
        <f t="shared" ref="E47:X47" si="7">36-E45</f>
        <v>26</v>
      </c>
      <c r="F47" s="72">
        <f t="shared" si="7"/>
        <v>11</v>
      </c>
      <c r="G47" s="72">
        <f t="shared" si="7"/>
        <v>29</v>
      </c>
      <c r="H47" s="72">
        <f t="shared" si="7"/>
        <v>4</v>
      </c>
      <c r="I47" s="72">
        <f t="shared" si="7"/>
        <v>23</v>
      </c>
      <c r="J47" s="72">
        <f t="shared" si="7"/>
        <v>24</v>
      </c>
      <c r="K47" s="72">
        <f t="shared" si="7"/>
        <v>18</v>
      </c>
      <c r="L47" s="72">
        <f t="shared" si="7"/>
        <v>18</v>
      </c>
      <c r="M47" s="72">
        <f t="shared" si="7"/>
        <v>9</v>
      </c>
      <c r="N47" s="72">
        <f t="shared" si="7"/>
        <v>18</v>
      </c>
      <c r="O47" s="72">
        <f t="shared" si="7"/>
        <v>9</v>
      </c>
      <c r="P47" s="72">
        <f t="shared" si="7"/>
        <v>3</v>
      </c>
      <c r="Q47" s="72">
        <f t="shared" si="7"/>
        <v>7</v>
      </c>
      <c r="R47" s="72">
        <f t="shared" si="7"/>
        <v>28</v>
      </c>
      <c r="S47" s="72">
        <f t="shared" si="7"/>
        <v>21</v>
      </c>
      <c r="T47" s="72">
        <f t="shared" si="7"/>
        <v>1</v>
      </c>
      <c r="U47" s="72">
        <f t="shared" si="7"/>
        <v>9</v>
      </c>
      <c r="V47" s="72">
        <f t="shared" si="7"/>
        <v>25</v>
      </c>
      <c r="W47" s="72">
        <f t="shared" si="7"/>
        <v>24</v>
      </c>
      <c r="X47" s="72">
        <f t="shared" si="7"/>
        <v>27</v>
      </c>
    </row>
    <row r="48" ht="15.75" customHeight="1">
      <c r="A48" s="74"/>
      <c r="B48" s="75"/>
      <c r="C48" s="71" t="s">
        <v>347</v>
      </c>
      <c r="D48" s="24"/>
      <c r="E48" s="73">
        <f t="shared" ref="E48:X48" si="8">100%-E46</f>
        <v>0.7222222222</v>
      </c>
      <c r="F48" s="73">
        <f t="shared" si="8"/>
        <v>0.3055555556</v>
      </c>
      <c r="G48" s="73">
        <f t="shared" si="8"/>
        <v>0.8055555556</v>
      </c>
      <c r="H48" s="73">
        <f t="shared" si="8"/>
        <v>0.1111111111</v>
      </c>
      <c r="I48" s="73">
        <f t="shared" si="8"/>
        <v>0.6388888889</v>
      </c>
      <c r="J48" s="73">
        <f t="shared" si="8"/>
        <v>0.6666666667</v>
      </c>
      <c r="K48" s="73">
        <f t="shared" si="8"/>
        <v>0.5</v>
      </c>
      <c r="L48" s="73">
        <f t="shared" si="8"/>
        <v>0.5</v>
      </c>
      <c r="M48" s="73">
        <f t="shared" si="8"/>
        <v>0.25</v>
      </c>
      <c r="N48" s="73">
        <f t="shared" si="8"/>
        <v>0.5</v>
      </c>
      <c r="O48" s="73">
        <f t="shared" si="8"/>
        <v>0.25</v>
      </c>
      <c r="P48" s="73">
        <f t="shared" si="8"/>
        <v>0.08333333333</v>
      </c>
      <c r="Q48" s="73">
        <f t="shared" si="8"/>
        <v>0.1944444444</v>
      </c>
      <c r="R48" s="73">
        <f t="shared" si="8"/>
        <v>0.7777777778</v>
      </c>
      <c r="S48" s="73">
        <f t="shared" si="8"/>
        <v>0.5833333333</v>
      </c>
      <c r="T48" s="73">
        <f t="shared" si="8"/>
        <v>0.02777777778</v>
      </c>
      <c r="U48" s="73">
        <f t="shared" si="8"/>
        <v>0.25</v>
      </c>
      <c r="V48" s="73">
        <f t="shared" si="8"/>
        <v>0.6944444444</v>
      </c>
      <c r="W48" s="73">
        <f t="shared" si="8"/>
        <v>0.6666666667</v>
      </c>
      <c r="X48" s="73">
        <f t="shared" si="8"/>
        <v>0.75</v>
      </c>
    </row>
    <row r="49" ht="15.75" customHeight="1">
      <c r="A49" s="74"/>
      <c r="B49" s="75"/>
      <c r="C49" s="76" t="s">
        <v>348</v>
      </c>
      <c r="D49" s="77"/>
      <c r="E49" s="78">
        <f>(36/38)</f>
        <v>0.9473684211</v>
      </c>
      <c r="F49" s="24"/>
    </row>
    <row r="50" ht="15.75" customHeight="1">
      <c r="A50" s="74"/>
      <c r="B50" s="75"/>
      <c r="C50" s="71" t="s">
        <v>349</v>
      </c>
      <c r="D50" s="24"/>
      <c r="E50" s="79">
        <f>(E45+'3B'!E45+'3C'!E43+'3D'!E42)/137</f>
        <v>0.2335766423</v>
      </c>
      <c r="F50" s="79">
        <f>(F45+'3B'!F45+'3C'!F43+'3D'!F42)/137</f>
        <v>0.7445255474</v>
      </c>
      <c r="G50" s="79">
        <f>(G45+'3B'!G45+'3C'!G43+'3D'!G42)/137</f>
        <v>0.1824817518</v>
      </c>
      <c r="H50" s="79">
        <f>(H45+'3B'!H45+'3C'!H43+'3D'!H42)/137</f>
        <v>0.8832116788</v>
      </c>
      <c r="I50" s="79">
        <f>(I45+'3B'!I45+'3C'!I43+'3D'!I42)/137</f>
        <v>0.2773722628</v>
      </c>
      <c r="J50" s="79">
        <f>(J45+'3B'!J45+'3C'!J43+'3D'!J42)/137</f>
        <v>0.3065693431</v>
      </c>
      <c r="K50" s="79">
        <f>(K45+'3B'!K45+'3C'!K43+'3D'!K42)/137</f>
        <v>0.4306569343</v>
      </c>
      <c r="L50" s="79">
        <f>(L45+'3B'!L45+'3C'!L43+'3D'!L42)/137</f>
        <v>0.503649635</v>
      </c>
      <c r="M50" s="79">
        <f>(M45+'3B'!M45+'3C'!M43+'3D'!M42)/137</f>
        <v>0.5693430657</v>
      </c>
      <c r="N50" s="79">
        <f>(N45+'3B'!N45+'3C'!N43+'3D'!N42)/137</f>
        <v>0.496350365</v>
      </c>
      <c r="O50" s="79">
        <f>(O45+'3B'!O45+'3C'!O43+'3D'!O42)/137</f>
        <v>0.7080291971</v>
      </c>
      <c r="P50" s="79">
        <f>(P45+'3B'!P45+'3C'!P43+'3D'!P42)/137</f>
        <v>0.9343065693</v>
      </c>
      <c r="Q50" s="79">
        <f>(Q45+'3B'!Q45+'3C'!Q43+'3D'!Q42)/137</f>
        <v>0.802919708</v>
      </c>
      <c r="R50" s="79">
        <f>(R45+'3B'!R45+'3C'!R43+'3D'!R42)/137</f>
        <v>0.1094890511</v>
      </c>
      <c r="S50" s="79">
        <f>(S45+'3B'!S45+'3C'!S43+'3D'!S42)/137</f>
        <v>0.4233576642</v>
      </c>
      <c r="T50" s="79">
        <f>(T45+'3B'!T45+'3C'!T43+'3D'!T42)/137</f>
        <v>0.7591240876</v>
      </c>
      <c r="U50" s="79">
        <f>(U45+'3B'!U45+'3C'!U43+'3D'!U42)/137</f>
        <v>0.7737226277</v>
      </c>
      <c r="V50" s="79">
        <f>(V45+'3B'!V45+'3C'!V43+'3D'!V42)/137</f>
        <v>0.2408759124</v>
      </c>
      <c r="W50" s="79">
        <f>(W45+'3B'!W45+'3C'!W43+'3D'!W42)/137</f>
        <v>0.3722627737</v>
      </c>
      <c r="X50" s="79">
        <f>(X45+'3B'!X45+'3C'!X43+'3D'!X42)/136</f>
        <v>0.2279411765</v>
      </c>
    </row>
    <row r="51" ht="15.75" customHeight="1">
      <c r="A51" s="74"/>
      <c r="B51" s="75"/>
      <c r="D51" s="80"/>
    </row>
    <row r="52" ht="15.75" customHeight="1">
      <c r="A52" s="74"/>
      <c r="B52" s="75"/>
      <c r="C52" s="81" t="s">
        <v>350</v>
      </c>
      <c r="G52" s="82" t="s">
        <v>351</v>
      </c>
      <c r="H52" s="83" t="s">
        <v>352</v>
      </c>
    </row>
    <row r="53" ht="15.75" customHeight="1">
      <c r="A53" s="74"/>
      <c r="B53" s="75"/>
      <c r="C53" s="84" t="s">
        <v>353</v>
      </c>
      <c r="G53" s="82" t="s">
        <v>351</v>
      </c>
      <c r="H53" s="83" t="s">
        <v>354</v>
      </c>
    </row>
    <row r="54" ht="15.75" customHeight="1">
      <c r="A54" s="74"/>
      <c r="B54" s="75"/>
      <c r="C54" s="85" t="s">
        <v>355</v>
      </c>
      <c r="G54" s="82" t="s">
        <v>351</v>
      </c>
      <c r="H54" s="83" t="s">
        <v>356</v>
      </c>
    </row>
    <row r="55" ht="15.75" customHeight="1">
      <c r="A55" s="74"/>
      <c r="B55" s="75"/>
      <c r="C55" s="86"/>
      <c r="D55" s="80"/>
      <c r="G55" s="82" t="s">
        <v>351</v>
      </c>
      <c r="H55" s="83" t="s">
        <v>357</v>
      </c>
    </row>
    <row r="56" ht="15.75" customHeight="1">
      <c r="A56" s="74"/>
      <c r="B56" s="75"/>
      <c r="C56" s="86"/>
      <c r="D56" s="80"/>
      <c r="G56" s="82" t="s">
        <v>351</v>
      </c>
      <c r="H56" s="83" t="s">
        <v>358</v>
      </c>
    </row>
    <row r="57" ht="15.75" customHeight="1">
      <c r="A57" s="74"/>
      <c r="B57" s="75"/>
      <c r="C57" s="86"/>
      <c r="D57" s="80"/>
    </row>
    <row r="58" ht="15.75" customHeight="1">
      <c r="A58" s="74"/>
      <c r="B58" s="75"/>
      <c r="C58" s="86"/>
      <c r="D58" s="80"/>
    </row>
    <row r="59" ht="15.75" customHeight="1">
      <c r="A59" s="74"/>
      <c r="B59" s="75"/>
      <c r="C59" s="86"/>
      <c r="D59" s="80"/>
    </row>
    <row r="60" ht="15.75" customHeight="1">
      <c r="A60" s="74"/>
      <c r="B60" s="75"/>
      <c r="C60" s="86"/>
      <c r="D60" s="80"/>
    </row>
    <row r="61" ht="15.75" customHeight="1">
      <c r="A61" s="74"/>
      <c r="B61" s="75"/>
      <c r="D61" s="80"/>
    </row>
    <row r="62" ht="15.75" customHeight="1">
      <c r="A62" s="87" t="s">
        <v>0</v>
      </c>
      <c r="B62" s="88" t="s">
        <v>330</v>
      </c>
      <c r="C62" s="89" t="s">
        <v>333</v>
      </c>
      <c r="D62" s="90" t="s">
        <v>359</v>
      </c>
      <c r="E62" s="91">
        <v>1.0</v>
      </c>
      <c r="F62" s="92">
        <v>2.0</v>
      </c>
      <c r="G62" s="92">
        <v>3.0</v>
      </c>
      <c r="H62" s="92">
        <v>4.0</v>
      </c>
      <c r="I62" s="92">
        <v>5.0</v>
      </c>
      <c r="J62" s="92">
        <v>6.0</v>
      </c>
      <c r="K62" s="92">
        <v>7.0</v>
      </c>
      <c r="L62" s="92">
        <v>8.0</v>
      </c>
      <c r="M62" s="92">
        <v>9.0</v>
      </c>
      <c r="N62" s="92">
        <v>10.0</v>
      </c>
      <c r="O62" s="92">
        <v>11.0</v>
      </c>
      <c r="P62" s="92">
        <v>12.0</v>
      </c>
      <c r="Q62" s="92">
        <v>13.0</v>
      </c>
      <c r="R62" s="92">
        <v>14.0</v>
      </c>
      <c r="S62" s="92">
        <v>15.0</v>
      </c>
      <c r="T62" s="92">
        <v>16.0</v>
      </c>
      <c r="U62" s="92">
        <v>17.0</v>
      </c>
      <c r="V62" s="92">
        <v>18.0</v>
      </c>
      <c r="W62" s="92">
        <v>19.0</v>
      </c>
      <c r="X62" s="92">
        <v>20.0</v>
      </c>
    </row>
    <row r="63" ht="15.75" customHeight="1">
      <c r="A63" s="93" t="s">
        <v>334</v>
      </c>
      <c r="B63" s="94">
        <f t="shared" ref="B63:B101" si="9">SUM(E63:X63)</f>
        <v>10</v>
      </c>
      <c r="C63" s="95" t="s">
        <v>336</v>
      </c>
      <c r="D63" s="96">
        <f t="shared" ref="D63:D101" si="10">B63</f>
        <v>10</v>
      </c>
      <c r="E63" s="97">
        <f t="shared" ref="E63:E101" si="11">IF(E5=$E$3,$E$4,0)</f>
        <v>0.5</v>
      </c>
      <c r="F63" s="98">
        <f t="shared" ref="F63:F101" si="12">IF(F5=$F$3,$F$4,0)</f>
        <v>0.5</v>
      </c>
      <c r="G63" s="98">
        <f t="shared" ref="G63:G101" si="13">IF(G5=$G$3,$G$4,0)</f>
        <v>0.5</v>
      </c>
      <c r="H63" s="98">
        <f t="shared" ref="H63:H101" si="14">IF(H5=$H$3,$H$4,0)</f>
        <v>0.5</v>
      </c>
      <c r="I63" s="98">
        <f t="shared" ref="I63:I101" si="15">IF(I5=$I$3,$I$4,0)</f>
        <v>0.5</v>
      </c>
      <c r="J63" s="98">
        <f t="shared" ref="J63:J101" si="16">IF(J5=$J$3,$J$4,0)</f>
        <v>0.5</v>
      </c>
      <c r="K63" s="98">
        <f t="shared" ref="K63:K101" si="17">IF(K5=$K$3,$K$4,0)</f>
        <v>0.5</v>
      </c>
      <c r="L63" s="98">
        <f t="shared" ref="L63:L101" si="18">IF(L5=$L$3,$L$4,0)</f>
        <v>0.5</v>
      </c>
      <c r="M63" s="98">
        <f t="shared" ref="M63:M101" si="19">IF(M5=$M$3,$M$4,0)</f>
        <v>0.5</v>
      </c>
      <c r="N63" s="98">
        <f t="shared" ref="N63:N101" si="20">IF(N5=$N$3,$N$4,0)</f>
        <v>0.5</v>
      </c>
      <c r="O63" s="98">
        <f t="shared" ref="O63:O101" si="21">IF(O5=$O$3,$O$4,0)</f>
        <v>0.5</v>
      </c>
      <c r="P63" s="98">
        <f t="shared" ref="P63:P101" si="22">IF(P5=$P$3,$P$4,0)</f>
        <v>0.5</v>
      </c>
      <c r="Q63" s="98">
        <f t="shared" ref="Q63:Q101" si="23">IF(Q5=$Q$3,$Q$4,0)</f>
        <v>0.5</v>
      </c>
      <c r="R63" s="98">
        <f t="shared" ref="R63:R101" si="24">IF(R5=$R$3,$R$4,0)</f>
        <v>0.5</v>
      </c>
      <c r="S63" s="98">
        <f t="shared" ref="S63:S101" si="25">IF(S5=$S$3,$S$4,0)</f>
        <v>0.5</v>
      </c>
      <c r="T63" s="98">
        <f t="shared" ref="T63:T101" si="26">IF(T5=$T$3,$T$4,0)</f>
        <v>0.5</v>
      </c>
      <c r="U63" s="98">
        <f t="shared" ref="U63:U101" si="27">IF(U5=$U$3,$U$4,0)</f>
        <v>0.5</v>
      </c>
      <c r="V63" s="98">
        <f t="shared" ref="V63:V101" si="28">IF(V5=$V$3,$V$4,0)</f>
        <v>0.5</v>
      </c>
      <c r="W63" s="98">
        <f t="shared" ref="W63:W101" si="29">IF(W5=$W$3,$W$4,0)</f>
        <v>0.5</v>
      </c>
      <c r="X63" s="98">
        <f t="shared" ref="X63:X101" si="30">IF(X5=$X$3,$X$4,0)</f>
        <v>0.5</v>
      </c>
    </row>
    <row r="64" ht="15.75" customHeight="1">
      <c r="A64" s="99">
        <v>1.0</v>
      </c>
      <c r="B64" s="100">
        <f t="shared" si="9"/>
        <v>4.5</v>
      </c>
      <c r="C64" s="49" t="s">
        <v>340</v>
      </c>
      <c r="D64" s="101">
        <f t="shared" si="10"/>
        <v>4.5</v>
      </c>
      <c r="E64" s="102">
        <f t="shared" si="11"/>
        <v>0</v>
      </c>
      <c r="F64" s="103">
        <f t="shared" si="12"/>
        <v>0.5</v>
      </c>
      <c r="G64" s="103">
        <f t="shared" si="13"/>
        <v>0</v>
      </c>
      <c r="H64" s="103">
        <f t="shared" si="14"/>
        <v>0.5</v>
      </c>
      <c r="I64" s="103">
        <f t="shared" si="15"/>
        <v>0</v>
      </c>
      <c r="J64" s="103">
        <f t="shared" si="16"/>
        <v>0</v>
      </c>
      <c r="K64" s="103">
        <f t="shared" si="17"/>
        <v>0</v>
      </c>
      <c r="L64" s="103">
        <f t="shared" si="18"/>
        <v>0.5</v>
      </c>
      <c r="M64" s="103">
        <f t="shared" si="19"/>
        <v>0.5</v>
      </c>
      <c r="N64" s="103">
        <f t="shared" si="20"/>
        <v>0.5</v>
      </c>
      <c r="O64" s="103">
        <f t="shared" si="21"/>
        <v>0.5</v>
      </c>
      <c r="P64" s="103">
        <f t="shared" si="22"/>
        <v>0.5</v>
      </c>
      <c r="Q64" s="103">
        <f t="shared" si="23"/>
        <v>0.5</v>
      </c>
      <c r="R64" s="103">
        <f t="shared" si="24"/>
        <v>0</v>
      </c>
      <c r="S64" s="103">
        <f t="shared" si="25"/>
        <v>0</v>
      </c>
      <c r="T64" s="103">
        <f t="shared" si="26"/>
        <v>0.5</v>
      </c>
      <c r="U64" s="103">
        <f t="shared" si="27"/>
        <v>0</v>
      </c>
      <c r="V64" s="103">
        <f t="shared" si="28"/>
        <v>0</v>
      </c>
      <c r="W64" s="103">
        <f t="shared" si="29"/>
        <v>0</v>
      </c>
      <c r="X64" s="103">
        <f t="shared" si="30"/>
        <v>0</v>
      </c>
    </row>
    <row r="65" ht="15.75" customHeight="1">
      <c r="A65" s="104">
        <v>2.0</v>
      </c>
      <c r="B65" s="105">
        <f t="shared" si="9"/>
        <v>2</v>
      </c>
      <c r="C65" s="55" t="s">
        <v>341</v>
      </c>
      <c r="D65" s="106">
        <f t="shared" si="10"/>
        <v>2</v>
      </c>
      <c r="E65" s="107">
        <f t="shared" si="11"/>
        <v>0</v>
      </c>
      <c r="F65" s="108">
        <f t="shared" si="12"/>
        <v>0.5</v>
      </c>
      <c r="G65" s="108">
        <f t="shared" si="13"/>
        <v>0</v>
      </c>
      <c r="H65" s="108">
        <f t="shared" si="14"/>
        <v>0</v>
      </c>
      <c r="I65" s="108">
        <f t="shared" si="15"/>
        <v>0.5</v>
      </c>
      <c r="J65" s="108">
        <f t="shared" si="16"/>
        <v>0</v>
      </c>
      <c r="K65" s="108">
        <f t="shared" si="17"/>
        <v>0</v>
      </c>
      <c r="L65" s="108">
        <f t="shared" si="18"/>
        <v>0</v>
      </c>
      <c r="M65" s="108">
        <f t="shared" si="19"/>
        <v>0</v>
      </c>
      <c r="N65" s="108">
        <f t="shared" si="20"/>
        <v>0</v>
      </c>
      <c r="O65" s="108">
        <f t="shared" si="21"/>
        <v>0</v>
      </c>
      <c r="P65" s="108">
        <f t="shared" si="22"/>
        <v>0</v>
      </c>
      <c r="Q65" s="108">
        <f t="shared" si="23"/>
        <v>0</v>
      </c>
      <c r="R65" s="108">
        <f t="shared" si="24"/>
        <v>0</v>
      </c>
      <c r="S65" s="108">
        <f t="shared" si="25"/>
        <v>0</v>
      </c>
      <c r="T65" s="108">
        <f t="shared" si="26"/>
        <v>0.5</v>
      </c>
      <c r="U65" s="108">
        <f t="shared" si="27"/>
        <v>0</v>
      </c>
      <c r="V65" s="108">
        <f t="shared" si="28"/>
        <v>0</v>
      </c>
      <c r="W65" s="108">
        <f t="shared" si="29"/>
        <v>0</v>
      </c>
      <c r="X65" s="108">
        <f t="shared" si="30"/>
        <v>0.5</v>
      </c>
    </row>
    <row r="66" ht="15.75" customHeight="1">
      <c r="A66" s="104">
        <v>3.0</v>
      </c>
      <c r="B66" s="105">
        <f t="shared" si="9"/>
        <v>8.5</v>
      </c>
      <c r="C66" s="55" t="s">
        <v>342</v>
      </c>
      <c r="D66" s="106">
        <f t="shared" si="10"/>
        <v>8.5</v>
      </c>
      <c r="E66" s="107">
        <f t="shared" si="11"/>
        <v>0.5</v>
      </c>
      <c r="F66" s="108">
        <f t="shared" si="12"/>
        <v>0.5</v>
      </c>
      <c r="G66" s="108">
        <f t="shared" si="13"/>
        <v>0</v>
      </c>
      <c r="H66" s="108">
        <f t="shared" si="14"/>
        <v>0.5</v>
      </c>
      <c r="I66" s="108">
        <f t="shared" si="15"/>
        <v>0.5</v>
      </c>
      <c r="J66" s="108">
        <f t="shared" si="16"/>
        <v>0.5</v>
      </c>
      <c r="K66" s="108">
        <f t="shared" si="17"/>
        <v>0.5</v>
      </c>
      <c r="L66" s="108">
        <f t="shared" si="18"/>
        <v>0.5</v>
      </c>
      <c r="M66" s="108">
        <f t="shared" si="19"/>
        <v>0.5</v>
      </c>
      <c r="N66" s="108">
        <f t="shared" si="20"/>
        <v>0.5</v>
      </c>
      <c r="O66" s="108">
        <f t="shared" si="21"/>
        <v>0.5</v>
      </c>
      <c r="P66" s="108">
        <f t="shared" si="22"/>
        <v>0.5</v>
      </c>
      <c r="Q66" s="108">
        <f t="shared" si="23"/>
        <v>0.5</v>
      </c>
      <c r="R66" s="108">
        <f t="shared" si="24"/>
        <v>0</v>
      </c>
      <c r="S66" s="108">
        <f t="shared" si="25"/>
        <v>0.5</v>
      </c>
      <c r="T66" s="108">
        <f t="shared" si="26"/>
        <v>0.5</v>
      </c>
      <c r="U66" s="108">
        <f t="shared" si="27"/>
        <v>0.5</v>
      </c>
      <c r="V66" s="108">
        <f t="shared" si="28"/>
        <v>0.5</v>
      </c>
      <c r="W66" s="108">
        <f t="shared" si="29"/>
        <v>0.5</v>
      </c>
      <c r="X66" s="108">
        <f t="shared" si="30"/>
        <v>0</v>
      </c>
    </row>
    <row r="67" ht="15.75" customHeight="1">
      <c r="A67" s="104">
        <v>4.0</v>
      </c>
      <c r="B67" s="105">
        <f t="shared" si="9"/>
        <v>9</v>
      </c>
      <c r="C67" s="55" t="s">
        <v>38</v>
      </c>
      <c r="D67" s="106">
        <f t="shared" si="10"/>
        <v>9</v>
      </c>
      <c r="E67" s="107">
        <f t="shared" si="11"/>
        <v>0.5</v>
      </c>
      <c r="F67" s="108">
        <f t="shared" si="12"/>
        <v>0.5</v>
      </c>
      <c r="G67" s="108">
        <f t="shared" si="13"/>
        <v>0.5</v>
      </c>
      <c r="H67" s="108">
        <f t="shared" si="14"/>
        <v>0.5</v>
      </c>
      <c r="I67" s="108">
        <f t="shared" si="15"/>
        <v>0.5</v>
      </c>
      <c r="J67" s="108">
        <f t="shared" si="16"/>
        <v>0</v>
      </c>
      <c r="K67" s="108">
        <f t="shared" si="17"/>
        <v>0.5</v>
      </c>
      <c r="L67" s="108">
        <f t="shared" si="18"/>
        <v>0.5</v>
      </c>
      <c r="M67" s="108">
        <f t="shared" si="19"/>
        <v>0.5</v>
      </c>
      <c r="N67" s="108">
        <f t="shared" si="20"/>
        <v>0.5</v>
      </c>
      <c r="O67" s="108">
        <f t="shared" si="21"/>
        <v>0</v>
      </c>
      <c r="P67" s="108">
        <f t="shared" si="22"/>
        <v>0.5</v>
      </c>
      <c r="Q67" s="108">
        <f t="shared" si="23"/>
        <v>0.5</v>
      </c>
      <c r="R67" s="108">
        <f t="shared" si="24"/>
        <v>0.5</v>
      </c>
      <c r="S67" s="108">
        <f t="shared" si="25"/>
        <v>0.5</v>
      </c>
      <c r="T67" s="108">
        <f t="shared" si="26"/>
        <v>0.5</v>
      </c>
      <c r="U67" s="108">
        <f t="shared" si="27"/>
        <v>0.5</v>
      </c>
      <c r="V67" s="108">
        <f t="shared" si="28"/>
        <v>0.5</v>
      </c>
      <c r="W67" s="108">
        <f t="shared" si="29"/>
        <v>0.5</v>
      </c>
      <c r="X67" s="108">
        <f t="shared" si="30"/>
        <v>0.5</v>
      </c>
    </row>
    <row r="68" ht="15.75" customHeight="1">
      <c r="A68" s="104">
        <v>5.0</v>
      </c>
      <c r="B68" s="105">
        <f t="shared" si="9"/>
        <v>5</v>
      </c>
      <c r="C68" s="55" t="s">
        <v>40</v>
      </c>
      <c r="D68" s="106">
        <f t="shared" si="10"/>
        <v>5</v>
      </c>
      <c r="E68" s="107">
        <f t="shared" si="11"/>
        <v>0.5</v>
      </c>
      <c r="F68" s="108">
        <f t="shared" si="12"/>
        <v>0.5</v>
      </c>
      <c r="G68" s="108">
        <f t="shared" si="13"/>
        <v>0</v>
      </c>
      <c r="H68" s="108">
        <f t="shared" si="14"/>
        <v>0.5</v>
      </c>
      <c r="I68" s="108">
        <f t="shared" si="15"/>
        <v>0</v>
      </c>
      <c r="J68" s="108">
        <f t="shared" si="16"/>
        <v>0</v>
      </c>
      <c r="K68" s="108">
        <f t="shared" si="17"/>
        <v>0</v>
      </c>
      <c r="L68" s="108">
        <f t="shared" si="18"/>
        <v>0.5</v>
      </c>
      <c r="M68" s="108">
        <f t="shared" si="19"/>
        <v>0</v>
      </c>
      <c r="N68" s="108">
        <f t="shared" si="20"/>
        <v>0</v>
      </c>
      <c r="O68" s="108">
        <f t="shared" si="21"/>
        <v>0.5</v>
      </c>
      <c r="P68" s="108">
        <f t="shared" si="22"/>
        <v>0.5</v>
      </c>
      <c r="Q68" s="108">
        <f t="shared" si="23"/>
        <v>0.5</v>
      </c>
      <c r="R68" s="108">
        <f t="shared" si="24"/>
        <v>0</v>
      </c>
      <c r="S68" s="108">
        <f t="shared" si="25"/>
        <v>0.5</v>
      </c>
      <c r="T68" s="108">
        <f t="shared" si="26"/>
        <v>0.5</v>
      </c>
      <c r="U68" s="108">
        <f t="shared" si="27"/>
        <v>0</v>
      </c>
      <c r="V68" s="108">
        <f t="shared" si="28"/>
        <v>0</v>
      </c>
      <c r="W68" s="108">
        <f t="shared" si="29"/>
        <v>0.5</v>
      </c>
      <c r="X68" s="108">
        <f t="shared" si="30"/>
        <v>0</v>
      </c>
    </row>
    <row r="69" ht="15.75" customHeight="1">
      <c r="A69" s="104">
        <v>6.0</v>
      </c>
      <c r="B69" s="105">
        <f t="shared" si="9"/>
        <v>0</v>
      </c>
      <c r="C69" s="55" t="s">
        <v>42</v>
      </c>
      <c r="D69" s="106">
        <f t="shared" si="10"/>
        <v>0</v>
      </c>
      <c r="E69" s="107">
        <f t="shared" si="11"/>
        <v>0</v>
      </c>
      <c r="F69" s="108">
        <f t="shared" si="12"/>
        <v>0</v>
      </c>
      <c r="G69" s="108">
        <f t="shared" si="13"/>
        <v>0</v>
      </c>
      <c r="H69" s="108">
        <f t="shared" si="14"/>
        <v>0</v>
      </c>
      <c r="I69" s="108">
        <f t="shared" si="15"/>
        <v>0</v>
      </c>
      <c r="J69" s="108">
        <f t="shared" si="16"/>
        <v>0</v>
      </c>
      <c r="K69" s="108">
        <f t="shared" si="17"/>
        <v>0</v>
      </c>
      <c r="L69" s="108">
        <f t="shared" si="18"/>
        <v>0</v>
      </c>
      <c r="M69" s="108">
        <f t="shared" si="19"/>
        <v>0</v>
      </c>
      <c r="N69" s="108">
        <f t="shared" si="20"/>
        <v>0</v>
      </c>
      <c r="O69" s="108">
        <f t="shared" si="21"/>
        <v>0</v>
      </c>
      <c r="P69" s="108">
        <f t="shared" si="22"/>
        <v>0</v>
      </c>
      <c r="Q69" s="108">
        <f t="shared" si="23"/>
        <v>0</v>
      </c>
      <c r="R69" s="108">
        <f t="shared" si="24"/>
        <v>0</v>
      </c>
      <c r="S69" s="108">
        <f t="shared" si="25"/>
        <v>0</v>
      </c>
      <c r="T69" s="108">
        <f t="shared" si="26"/>
        <v>0</v>
      </c>
      <c r="U69" s="108">
        <f t="shared" si="27"/>
        <v>0</v>
      </c>
      <c r="V69" s="108">
        <f t="shared" si="28"/>
        <v>0</v>
      </c>
      <c r="W69" s="108">
        <f t="shared" si="29"/>
        <v>0</v>
      </c>
      <c r="X69" s="108">
        <f t="shared" si="30"/>
        <v>0</v>
      </c>
    </row>
    <row r="70" ht="15.75" customHeight="1">
      <c r="A70" s="104">
        <v>7.0</v>
      </c>
      <c r="B70" s="105">
        <f t="shared" si="9"/>
        <v>4.5</v>
      </c>
      <c r="C70" s="55" t="s">
        <v>44</v>
      </c>
      <c r="D70" s="106">
        <f t="shared" si="10"/>
        <v>4.5</v>
      </c>
      <c r="E70" s="107">
        <f t="shared" si="11"/>
        <v>0</v>
      </c>
      <c r="F70" s="108">
        <f t="shared" si="12"/>
        <v>0.5</v>
      </c>
      <c r="G70" s="108">
        <f t="shared" si="13"/>
        <v>0</v>
      </c>
      <c r="H70" s="108">
        <f t="shared" si="14"/>
        <v>0.5</v>
      </c>
      <c r="I70" s="108">
        <f t="shared" si="15"/>
        <v>0</v>
      </c>
      <c r="J70" s="108">
        <f t="shared" si="16"/>
        <v>0</v>
      </c>
      <c r="K70" s="108">
        <f t="shared" si="17"/>
        <v>0.5</v>
      </c>
      <c r="L70" s="108">
        <f t="shared" si="18"/>
        <v>0</v>
      </c>
      <c r="M70" s="108">
        <f t="shared" si="19"/>
        <v>0.5</v>
      </c>
      <c r="N70" s="108">
        <f t="shared" si="20"/>
        <v>0</v>
      </c>
      <c r="O70" s="108">
        <f t="shared" si="21"/>
        <v>0.5</v>
      </c>
      <c r="P70" s="108">
        <f t="shared" si="22"/>
        <v>0.5</v>
      </c>
      <c r="Q70" s="108">
        <f t="shared" si="23"/>
        <v>0.5</v>
      </c>
      <c r="R70" s="108">
        <f t="shared" si="24"/>
        <v>0</v>
      </c>
      <c r="S70" s="108">
        <f t="shared" si="25"/>
        <v>0.5</v>
      </c>
      <c r="T70" s="108">
        <f t="shared" si="26"/>
        <v>0.5</v>
      </c>
      <c r="U70" s="108">
        <f t="shared" si="27"/>
        <v>0</v>
      </c>
      <c r="V70" s="108">
        <f t="shared" si="28"/>
        <v>0</v>
      </c>
      <c r="W70" s="108">
        <f t="shared" si="29"/>
        <v>0</v>
      </c>
      <c r="X70" s="108">
        <f t="shared" si="30"/>
        <v>0</v>
      </c>
    </row>
    <row r="71" ht="15.75" customHeight="1">
      <c r="A71" s="104">
        <v>8.0</v>
      </c>
      <c r="B71" s="105">
        <f t="shared" si="9"/>
        <v>5.5</v>
      </c>
      <c r="C71" s="55" t="s">
        <v>46</v>
      </c>
      <c r="D71" s="106">
        <f t="shared" si="10"/>
        <v>5.5</v>
      </c>
      <c r="E71" s="107">
        <f t="shared" si="11"/>
        <v>0</v>
      </c>
      <c r="F71" s="108">
        <f t="shared" si="12"/>
        <v>0.5</v>
      </c>
      <c r="G71" s="108">
        <f t="shared" si="13"/>
        <v>0</v>
      </c>
      <c r="H71" s="108">
        <f t="shared" si="14"/>
        <v>0.5</v>
      </c>
      <c r="I71" s="108">
        <f t="shared" si="15"/>
        <v>0</v>
      </c>
      <c r="J71" s="108">
        <f t="shared" si="16"/>
        <v>0</v>
      </c>
      <c r="K71" s="108">
        <f t="shared" si="17"/>
        <v>0.5</v>
      </c>
      <c r="L71" s="108">
        <f t="shared" si="18"/>
        <v>0</v>
      </c>
      <c r="M71" s="108">
        <f t="shared" si="19"/>
        <v>0.5</v>
      </c>
      <c r="N71" s="108">
        <f t="shared" si="20"/>
        <v>0.5</v>
      </c>
      <c r="O71" s="108">
        <f t="shared" si="21"/>
        <v>0.5</v>
      </c>
      <c r="P71" s="108">
        <f t="shared" si="22"/>
        <v>0.5</v>
      </c>
      <c r="Q71" s="108">
        <f t="shared" si="23"/>
        <v>0.5</v>
      </c>
      <c r="R71" s="108">
        <f t="shared" si="24"/>
        <v>0</v>
      </c>
      <c r="S71" s="108">
        <f t="shared" si="25"/>
        <v>0</v>
      </c>
      <c r="T71" s="108">
        <f t="shared" si="26"/>
        <v>0.5</v>
      </c>
      <c r="U71" s="108">
        <f t="shared" si="27"/>
        <v>0.5</v>
      </c>
      <c r="V71" s="108">
        <f t="shared" si="28"/>
        <v>0</v>
      </c>
      <c r="W71" s="108">
        <f t="shared" si="29"/>
        <v>0</v>
      </c>
      <c r="X71" s="108">
        <f t="shared" si="30"/>
        <v>0.5</v>
      </c>
    </row>
    <row r="72" ht="15.75" customHeight="1">
      <c r="A72" s="104">
        <v>9.0</v>
      </c>
      <c r="B72" s="105">
        <f t="shared" si="9"/>
        <v>6</v>
      </c>
      <c r="C72" s="55" t="s">
        <v>48</v>
      </c>
      <c r="D72" s="106">
        <f t="shared" si="10"/>
        <v>6</v>
      </c>
      <c r="E72" s="107">
        <f t="shared" si="11"/>
        <v>0.5</v>
      </c>
      <c r="F72" s="108">
        <f t="shared" si="12"/>
        <v>0.5</v>
      </c>
      <c r="G72" s="108">
        <f t="shared" si="13"/>
        <v>0</v>
      </c>
      <c r="H72" s="108">
        <f t="shared" si="14"/>
        <v>0.5</v>
      </c>
      <c r="I72" s="108">
        <f t="shared" si="15"/>
        <v>0.5</v>
      </c>
      <c r="J72" s="108">
        <f t="shared" si="16"/>
        <v>0</v>
      </c>
      <c r="K72" s="108">
        <f t="shared" si="17"/>
        <v>0</v>
      </c>
      <c r="L72" s="108">
        <f t="shared" si="18"/>
        <v>0</v>
      </c>
      <c r="M72" s="108">
        <f t="shared" si="19"/>
        <v>0.5</v>
      </c>
      <c r="N72" s="108">
        <f t="shared" si="20"/>
        <v>0.5</v>
      </c>
      <c r="O72" s="108">
        <f t="shared" si="21"/>
        <v>0.5</v>
      </c>
      <c r="P72" s="108">
        <f t="shared" si="22"/>
        <v>0.5</v>
      </c>
      <c r="Q72" s="108">
        <f t="shared" si="23"/>
        <v>0.5</v>
      </c>
      <c r="R72" s="108">
        <f t="shared" si="24"/>
        <v>0</v>
      </c>
      <c r="S72" s="108">
        <f t="shared" si="25"/>
        <v>0</v>
      </c>
      <c r="T72" s="108">
        <f t="shared" si="26"/>
        <v>0.5</v>
      </c>
      <c r="U72" s="108">
        <f t="shared" si="27"/>
        <v>0.5</v>
      </c>
      <c r="V72" s="108">
        <f t="shared" si="28"/>
        <v>0</v>
      </c>
      <c r="W72" s="108">
        <f t="shared" si="29"/>
        <v>0.5</v>
      </c>
      <c r="X72" s="108">
        <f t="shared" si="30"/>
        <v>0</v>
      </c>
    </row>
    <row r="73" ht="15.75" customHeight="1">
      <c r="A73" s="104">
        <v>10.0</v>
      </c>
      <c r="B73" s="105">
        <f t="shared" si="9"/>
        <v>8</v>
      </c>
      <c r="C73" s="55" t="s">
        <v>50</v>
      </c>
      <c r="D73" s="106">
        <f t="shared" si="10"/>
        <v>8</v>
      </c>
      <c r="E73" s="107">
        <f t="shared" si="11"/>
        <v>0.5</v>
      </c>
      <c r="F73" s="108">
        <f t="shared" si="12"/>
        <v>0</v>
      </c>
      <c r="G73" s="108">
        <f t="shared" si="13"/>
        <v>0.5</v>
      </c>
      <c r="H73" s="108">
        <f t="shared" si="14"/>
        <v>0.5</v>
      </c>
      <c r="I73" s="108">
        <f t="shared" si="15"/>
        <v>0.5</v>
      </c>
      <c r="J73" s="108">
        <f t="shared" si="16"/>
        <v>0.5</v>
      </c>
      <c r="K73" s="108">
        <f t="shared" si="17"/>
        <v>0</v>
      </c>
      <c r="L73" s="108">
        <f t="shared" si="18"/>
        <v>0.5</v>
      </c>
      <c r="M73" s="108">
        <f t="shared" si="19"/>
        <v>0.5</v>
      </c>
      <c r="N73" s="108">
        <f t="shared" si="20"/>
        <v>0.5</v>
      </c>
      <c r="O73" s="108">
        <f t="shared" si="21"/>
        <v>0.5</v>
      </c>
      <c r="P73" s="108">
        <f t="shared" si="22"/>
        <v>0.5</v>
      </c>
      <c r="Q73" s="108">
        <f t="shared" si="23"/>
        <v>0.5</v>
      </c>
      <c r="R73" s="108">
        <f t="shared" si="24"/>
        <v>0.5</v>
      </c>
      <c r="S73" s="108">
        <f t="shared" si="25"/>
        <v>0.5</v>
      </c>
      <c r="T73" s="108">
        <f t="shared" si="26"/>
        <v>0.5</v>
      </c>
      <c r="U73" s="108">
        <f t="shared" si="27"/>
        <v>0.5</v>
      </c>
      <c r="V73" s="108">
        <f t="shared" si="28"/>
        <v>0.5</v>
      </c>
      <c r="W73" s="108">
        <f t="shared" si="29"/>
        <v>0</v>
      </c>
      <c r="X73" s="108">
        <f t="shared" si="30"/>
        <v>0</v>
      </c>
    </row>
    <row r="74" ht="15.75" customHeight="1">
      <c r="A74" s="104">
        <v>11.0</v>
      </c>
      <c r="B74" s="105">
        <f t="shared" si="9"/>
        <v>6</v>
      </c>
      <c r="C74" s="55" t="s">
        <v>52</v>
      </c>
      <c r="D74" s="106">
        <f t="shared" si="10"/>
        <v>6</v>
      </c>
      <c r="E74" s="107">
        <f t="shared" si="11"/>
        <v>0</v>
      </c>
      <c r="F74" s="108">
        <f t="shared" si="12"/>
        <v>0.5</v>
      </c>
      <c r="G74" s="108">
        <f t="shared" si="13"/>
        <v>0.5</v>
      </c>
      <c r="H74" s="108">
        <f t="shared" si="14"/>
        <v>0.5</v>
      </c>
      <c r="I74" s="108">
        <f t="shared" si="15"/>
        <v>0.5</v>
      </c>
      <c r="J74" s="108">
        <f t="shared" si="16"/>
        <v>0.5</v>
      </c>
      <c r="K74" s="108">
        <f t="shared" si="17"/>
        <v>0</v>
      </c>
      <c r="L74" s="108">
        <f t="shared" si="18"/>
        <v>0</v>
      </c>
      <c r="M74" s="108">
        <f t="shared" si="19"/>
        <v>0</v>
      </c>
      <c r="N74" s="108">
        <f t="shared" si="20"/>
        <v>0.5</v>
      </c>
      <c r="O74" s="108">
        <f t="shared" si="21"/>
        <v>0.5</v>
      </c>
      <c r="P74" s="108">
        <f t="shared" si="22"/>
        <v>0.5</v>
      </c>
      <c r="Q74" s="108">
        <f t="shared" si="23"/>
        <v>0.5</v>
      </c>
      <c r="R74" s="108">
        <f t="shared" si="24"/>
        <v>0</v>
      </c>
      <c r="S74" s="108">
        <f t="shared" si="25"/>
        <v>0.5</v>
      </c>
      <c r="T74" s="108">
        <f t="shared" si="26"/>
        <v>0.5</v>
      </c>
      <c r="U74" s="108">
        <f t="shared" si="27"/>
        <v>0.5</v>
      </c>
      <c r="V74" s="108">
        <f t="shared" si="28"/>
        <v>0</v>
      </c>
      <c r="W74" s="108">
        <f t="shared" si="29"/>
        <v>0</v>
      </c>
      <c r="X74" s="108">
        <f t="shared" si="30"/>
        <v>0</v>
      </c>
    </row>
    <row r="75" ht="15.75" customHeight="1">
      <c r="A75" s="104">
        <v>12.0</v>
      </c>
      <c r="B75" s="105">
        <f t="shared" si="9"/>
        <v>5.5</v>
      </c>
      <c r="C75" s="57" t="s">
        <v>54</v>
      </c>
      <c r="D75" s="106">
        <f t="shared" si="10"/>
        <v>5.5</v>
      </c>
      <c r="E75" s="107">
        <f t="shared" si="11"/>
        <v>0</v>
      </c>
      <c r="F75" s="108">
        <f t="shared" si="12"/>
        <v>0</v>
      </c>
      <c r="G75" s="108">
        <f t="shared" si="13"/>
        <v>0</v>
      </c>
      <c r="H75" s="108">
        <f t="shared" si="14"/>
        <v>0.5</v>
      </c>
      <c r="I75" s="108">
        <f t="shared" si="15"/>
        <v>0</v>
      </c>
      <c r="J75" s="108">
        <f t="shared" si="16"/>
        <v>0</v>
      </c>
      <c r="K75" s="108">
        <f t="shared" si="17"/>
        <v>0.5</v>
      </c>
      <c r="L75" s="108">
        <f t="shared" si="18"/>
        <v>0</v>
      </c>
      <c r="M75" s="108">
        <f t="shared" si="19"/>
        <v>0.5</v>
      </c>
      <c r="N75" s="108">
        <f t="shared" si="20"/>
        <v>0</v>
      </c>
      <c r="O75" s="108">
        <f t="shared" si="21"/>
        <v>0.5</v>
      </c>
      <c r="P75" s="108">
        <f t="shared" si="22"/>
        <v>0.5</v>
      </c>
      <c r="Q75" s="108">
        <f t="shared" si="23"/>
        <v>0.5</v>
      </c>
      <c r="R75" s="108">
        <f t="shared" si="24"/>
        <v>0.5</v>
      </c>
      <c r="S75" s="108">
        <f t="shared" si="25"/>
        <v>0.5</v>
      </c>
      <c r="T75" s="108">
        <f t="shared" si="26"/>
        <v>0.5</v>
      </c>
      <c r="U75" s="108">
        <f t="shared" si="27"/>
        <v>0.5</v>
      </c>
      <c r="V75" s="108">
        <f t="shared" si="28"/>
        <v>0</v>
      </c>
      <c r="W75" s="108">
        <f t="shared" si="29"/>
        <v>0.5</v>
      </c>
      <c r="X75" s="108">
        <f t="shared" si="30"/>
        <v>0</v>
      </c>
    </row>
    <row r="76" ht="15.75" customHeight="1">
      <c r="A76" s="104">
        <v>13.0</v>
      </c>
      <c r="B76" s="105">
        <f t="shared" si="9"/>
        <v>5.5</v>
      </c>
      <c r="C76" s="55" t="s">
        <v>56</v>
      </c>
      <c r="D76" s="106">
        <f t="shared" si="10"/>
        <v>5.5</v>
      </c>
      <c r="E76" s="107">
        <f t="shared" si="11"/>
        <v>0</v>
      </c>
      <c r="F76" s="108">
        <f t="shared" si="12"/>
        <v>0.5</v>
      </c>
      <c r="G76" s="108">
        <f t="shared" si="13"/>
        <v>0</v>
      </c>
      <c r="H76" s="108">
        <f t="shared" si="14"/>
        <v>0.5</v>
      </c>
      <c r="I76" s="108">
        <f t="shared" si="15"/>
        <v>0</v>
      </c>
      <c r="J76" s="108">
        <f t="shared" si="16"/>
        <v>0</v>
      </c>
      <c r="K76" s="108">
        <f t="shared" si="17"/>
        <v>0</v>
      </c>
      <c r="L76" s="108">
        <f t="shared" si="18"/>
        <v>0</v>
      </c>
      <c r="M76" s="108">
        <f t="shared" si="19"/>
        <v>0.5</v>
      </c>
      <c r="N76" s="108">
        <f t="shared" si="20"/>
        <v>0.5</v>
      </c>
      <c r="O76" s="108">
        <f t="shared" si="21"/>
        <v>0.5</v>
      </c>
      <c r="P76" s="108">
        <f t="shared" si="22"/>
        <v>0.5</v>
      </c>
      <c r="Q76" s="108">
        <f t="shared" si="23"/>
        <v>0.5</v>
      </c>
      <c r="R76" s="108">
        <f t="shared" si="24"/>
        <v>0.5</v>
      </c>
      <c r="S76" s="108">
        <f t="shared" si="25"/>
        <v>0.5</v>
      </c>
      <c r="T76" s="108">
        <f t="shared" si="26"/>
        <v>0.5</v>
      </c>
      <c r="U76" s="108">
        <f t="shared" si="27"/>
        <v>0.5</v>
      </c>
      <c r="V76" s="108">
        <f t="shared" si="28"/>
        <v>0</v>
      </c>
      <c r="W76" s="108">
        <f t="shared" si="29"/>
        <v>0</v>
      </c>
      <c r="X76" s="108">
        <f t="shared" si="30"/>
        <v>0</v>
      </c>
    </row>
    <row r="77" ht="15.75" customHeight="1">
      <c r="A77" s="104">
        <v>14.0</v>
      </c>
      <c r="B77" s="105">
        <f t="shared" si="9"/>
        <v>5</v>
      </c>
      <c r="C77" s="55" t="s">
        <v>58</v>
      </c>
      <c r="D77" s="106">
        <f t="shared" si="10"/>
        <v>5</v>
      </c>
      <c r="E77" s="107">
        <f t="shared" si="11"/>
        <v>0</v>
      </c>
      <c r="F77" s="108">
        <f t="shared" si="12"/>
        <v>0</v>
      </c>
      <c r="G77" s="108">
        <f t="shared" si="13"/>
        <v>0</v>
      </c>
      <c r="H77" s="108">
        <f t="shared" si="14"/>
        <v>0.5</v>
      </c>
      <c r="I77" s="108">
        <f t="shared" si="15"/>
        <v>0.5</v>
      </c>
      <c r="J77" s="108">
        <f t="shared" si="16"/>
        <v>0.5</v>
      </c>
      <c r="K77" s="108">
        <f t="shared" si="17"/>
        <v>0</v>
      </c>
      <c r="L77" s="108">
        <f t="shared" si="18"/>
        <v>0.5</v>
      </c>
      <c r="M77" s="108">
        <f t="shared" si="19"/>
        <v>0.5</v>
      </c>
      <c r="N77" s="108">
        <f t="shared" si="20"/>
        <v>0</v>
      </c>
      <c r="O77" s="108">
        <f t="shared" si="21"/>
        <v>0.5</v>
      </c>
      <c r="P77" s="108">
        <f t="shared" si="22"/>
        <v>0</v>
      </c>
      <c r="Q77" s="108">
        <f t="shared" si="23"/>
        <v>0</v>
      </c>
      <c r="R77" s="108">
        <f t="shared" si="24"/>
        <v>0.5</v>
      </c>
      <c r="S77" s="108">
        <f t="shared" si="25"/>
        <v>0</v>
      </c>
      <c r="T77" s="108">
        <f t="shared" si="26"/>
        <v>0.5</v>
      </c>
      <c r="U77" s="108">
        <f t="shared" si="27"/>
        <v>0.5</v>
      </c>
      <c r="V77" s="108">
        <f t="shared" si="28"/>
        <v>0</v>
      </c>
      <c r="W77" s="108">
        <f t="shared" si="29"/>
        <v>0.5</v>
      </c>
      <c r="X77" s="108">
        <f t="shared" si="30"/>
        <v>0</v>
      </c>
    </row>
    <row r="78" ht="15.75" customHeight="1">
      <c r="A78" s="104">
        <v>15.0</v>
      </c>
      <c r="B78" s="105">
        <f t="shared" si="9"/>
        <v>4.5</v>
      </c>
      <c r="C78" s="55" t="s">
        <v>60</v>
      </c>
      <c r="D78" s="106">
        <f t="shared" si="10"/>
        <v>4.5</v>
      </c>
      <c r="E78" s="107">
        <f t="shared" si="11"/>
        <v>0</v>
      </c>
      <c r="F78" s="108">
        <f t="shared" si="12"/>
        <v>0.5</v>
      </c>
      <c r="G78" s="108">
        <f t="shared" si="13"/>
        <v>0</v>
      </c>
      <c r="H78" s="108">
        <f t="shared" si="14"/>
        <v>0.5</v>
      </c>
      <c r="I78" s="108">
        <f t="shared" si="15"/>
        <v>0</v>
      </c>
      <c r="J78" s="108">
        <f t="shared" si="16"/>
        <v>0</v>
      </c>
      <c r="K78" s="108">
        <f t="shared" si="17"/>
        <v>0</v>
      </c>
      <c r="L78" s="108">
        <f t="shared" si="18"/>
        <v>0.5</v>
      </c>
      <c r="M78" s="108">
        <f t="shared" si="19"/>
        <v>0.5</v>
      </c>
      <c r="N78" s="108">
        <f t="shared" si="20"/>
        <v>0</v>
      </c>
      <c r="O78" s="108">
        <f t="shared" si="21"/>
        <v>0.5</v>
      </c>
      <c r="P78" s="108">
        <f t="shared" si="22"/>
        <v>0.5</v>
      </c>
      <c r="Q78" s="108">
        <f t="shared" si="23"/>
        <v>0.5</v>
      </c>
      <c r="R78" s="108">
        <f t="shared" si="24"/>
        <v>0</v>
      </c>
      <c r="S78" s="108">
        <f t="shared" si="25"/>
        <v>0</v>
      </c>
      <c r="T78" s="108">
        <f t="shared" si="26"/>
        <v>0.5</v>
      </c>
      <c r="U78" s="108">
        <f t="shared" si="27"/>
        <v>0.5</v>
      </c>
      <c r="V78" s="108">
        <f t="shared" si="28"/>
        <v>0</v>
      </c>
      <c r="W78" s="108">
        <f t="shared" si="29"/>
        <v>0</v>
      </c>
      <c r="X78" s="108">
        <f t="shared" si="30"/>
        <v>0</v>
      </c>
    </row>
    <row r="79" ht="15.75" customHeight="1">
      <c r="A79" s="104">
        <v>16.0</v>
      </c>
      <c r="B79" s="105">
        <f t="shared" si="9"/>
        <v>5.5</v>
      </c>
      <c r="C79" s="55" t="s">
        <v>62</v>
      </c>
      <c r="D79" s="106">
        <f t="shared" si="10"/>
        <v>5.5</v>
      </c>
      <c r="E79" s="107">
        <f t="shared" si="11"/>
        <v>0</v>
      </c>
      <c r="F79" s="108">
        <f t="shared" si="12"/>
        <v>0.5</v>
      </c>
      <c r="G79" s="108">
        <f t="shared" si="13"/>
        <v>0</v>
      </c>
      <c r="H79" s="108">
        <f t="shared" si="14"/>
        <v>0.5</v>
      </c>
      <c r="I79" s="108">
        <f t="shared" si="15"/>
        <v>0.5</v>
      </c>
      <c r="J79" s="108">
        <f t="shared" si="16"/>
        <v>0</v>
      </c>
      <c r="K79" s="108">
        <f t="shared" si="17"/>
        <v>0</v>
      </c>
      <c r="L79" s="108">
        <f t="shared" si="18"/>
        <v>0</v>
      </c>
      <c r="M79" s="108">
        <f t="shared" si="19"/>
        <v>0.5</v>
      </c>
      <c r="N79" s="108">
        <f t="shared" si="20"/>
        <v>0.5</v>
      </c>
      <c r="O79" s="108">
        <f t="shared" si="21"/>
        <v>0</v>
      </c>
      <c r="P79" s="108">
        <f t="shared" si="22"/>
        <v>0.5</v>
      </c>
      <c r="Q79" s="108">
        <f t="shared" si="23"/>
        <v>0.5</v>
      </c>
      <c r="R79" s="108">
        <f t="shared" si="24"/>
        <v>0</v>
      </c>
      <c r="S79" s="108">
        <f t="shared" si="25"/>
        <v>0.5</v>
      </c>
      <c r="T79" s="108">
        <f t="shared" si="26"/>
        <v>0.5</v>
      </c>
      <c r="U79" s="108">
        <f t="shared" si="27"/>
        <v>0.5</v>
      </c>
      <c r="V79" s="108">
        <f t="shared" si="28"/>
        <v>0.5</v>
      </c>
      <c r="W79" s="108">
        <f t="shared" si="29"/>
        <v>0</v>
      </c>
      <c r="X79" s="108">
        <f t="shared" si="30"/>
        <v>0</v>
      </c>
    </row>
    <row r="80" ht="15.75" customHeight="1">
      <c r="A80" s="104">
        <v>17.0</v>
      </c>
      <c r="B80" s="105">
        <f t="shared" si="9"/>
        <v>6</v>
      </c>
      <c r="C80" s="55" t="s">
        <v>64</v>
      </c>
      <c r="D80" s="106">
        <f t="shared" si="10"/>
        <v>6</v>
      </c>
      <c r="E80" s="107">
        <f t="shared" si="11"/>
        <v>0</v>
      </c>
      <c r="F80" s="108">
        <f t="shared" si="12"/>
        <v>0</v>
      </c>
      <c r="G80" s="108">
        <f t="shared" si="13"/>
        <v>0</v>
      </c>
      <c r="H80" s="108">
        <f t="shared" si="14"/>
        <v>0</v>
      </c>
      <c r="I80" s="108">
        <f t="shared" si="15"/>
        <v>0</v>
      </c>
      <c r="J80" s="108">
        <f t="shared" si="16"/>
        <v>0.5</v>
      </c>
      <c r="K80" s="108">
        <f t="shared" si="17"/>
        <v>0.5</v>
      </c>
      <c r="L80" s="108">
        <f t="shared" si="18"/>
        <v>0.5</v>
      </c>
      <c r="M80" s="108">
        <f t="shared" si="19"/>
        <v>0.5</v>
      </c>
      <c r="N80" s="108">
        <f t="shared" si="20"/>
        <v>0.5</v>
      </c>
      <c r="O80" s="108">
        <f t="shared" si="21"/>
        <v>0.5</v>
      </c>
      <c r="P80" s="108">
        <f t="shared" si="22"/>
        <v>0.5</v>
      </c>
      <c r="Q80" s="108">
        <f t="shared" si="23"/>
        <v>0.5</v>
      </c>
      <c r="R80" s="108">
        <f t="shared" si="24"/>
        <v>0.5</v>
      </c>
      <c r="S80" s="108">
        <f t="shared" si="25"/>
        <v>0</v>
      </c>
      <c r="T80" s="108">
        <f t="shared" si="26"/>
        <v>0.5</v>
      </c>
      <c r="U80" s="108">
        <f t="shared" si="27"/>
        <v>0.5</v>
      </c>
      <c r="V80" s="108">
        <f t="shared" si="28"/>
        <v>0</v>
      </c>
      <c r="W80" s="108">
        <f t="shared" si="29"/>
        <v>0.5</v>
      </c>
      <c r="X80" s="108">
        <f t="shared" si="30"/>
        <v>0</v>
      </c>
    </row>
    <row r="81" ht="15.75" customHeight="1">
      <c r="A81" s="104">
        <v>18.0</v>
      </c>
      <c r="B81" s="105">
        <f t="shared" si="9"/>
        <v>4</v>
      </c>
      <c r="C81" s="57" t="s">
        <v>66</v>
      </c>
      <c r="D81" s="106">
        <f t="shared" si="10"/>
        <v>4</v>
      </c>
      <c r="E81" s="107">
        <f t="shared" si="11"/>
        <v>0</v>
      </c>
      <c r="F81" s="108">
        <f t="shared" si="12"/>
        <v>0.5</v>
      </c>
      <c r="G81" s="108">
        <f t="shared" si="13"/>
        <v>0.5</v>
      </c>
      <c r="H81" s="108">
        <f t="shared" si="14"/>
        <v>0.5</v>
      </c>
      <c r="I81" s="108">
        <f t="shared" si="15"/>
        <v>0</v>
      </c>
      <c r="J81" s="108">
        <f t="shared" si="16"/>
        <v>0</v>
      </c>
      <c r="K81" s="108">
        <f t="shared" si="17"/>
        <v>0</v>
      </c>
      <c r="L81" s="108">
        <f t="shared" si="18"/>
        <v>0</v>
      </c>
      <c r="M81" s="108">
        <f t="shared" si="19"/>
        <v>0</v>
      </c>
      <c r="N81" s="108">
        <f t="shared" si="20"/>
        <v>0.5</v>
      </c>
      <c r="O81" s="108">
        <f t="shared" si="21"/>
        <v>0.5</v>
      </c>
      <c r="P81" s="108">
        <f t="shared" si="22"/>
        <v>0.5</v>
      </c>
      <c r="Q81" s="108">
        <f t="shared" si="23"/>
        <v>0</v>
      </c>
      <c r="R81" s="108">
        <f t="shared" si="24"/>
        <v>0</v>
      </c>
      <c r="S81" s="108">
        <f t="shared" si="25"/>
        <v>0</v>
      </c>
      <c r="T81" s="108">
        <f t="shared" si="26"/>
        <v>0.5</v>
      </c>
      <c r="U81" s="108">
        <f t="shared" si="27"/>
        <v>0.5</v>
      </c>
      <c r="V81" s="108">
        <f t="shared" si="28"/>
        <v>0</v>
      </c>
      <c r="W81" s="108">
        <f t="shared" si="29"/>
        <v>0</v>
      </c>
      <c r="X81" s="108">
        <f t="shared" si="30"/>
        <v>0</v>
      </c>
    </row>
    <row r="82" ht="15.75" customHeight="1">
      <c r="A82" s="104">
        <v>19.0</v>
      </c>
      <c r="B82" s="105">
        <f t="shared" si="9"/>
        <v>5.5</v>
      </c>
      <c r="C82" s="55" t="s">
        <v>68</v>
      </c>
      <c r="D82" s="106">
        <f t="shared" si="10"/>
        <v>5.5</v>
      </c>
      <c r="E82" s="107">
        <f t="shared" si="11"/>
        <v>0.5</v>
      </c>
      <c r="F82" s="108">
        <f t="shared" si="12"/>
        <v>0</v>
      </c>
      <c r="G82" s="108">
        <f t="shared" si="13"/>
        <v>0</v>
      </c>
      <c r="H82" s="108">
        <f t="shared" si="14"/>
        <v>0.5</v>
      </c>
      <c r="I82" s="108">
        <f t="shared" si="15"/>
        <v>0.5</v>
      </c>
      <c r="J82" s="108">
        <f t="shared" si="16"/>
        <v>0</v>
      </c>
      <c r="K82" s="108">
        <f t="shared" si="17"/>
        <v>0.5</v>
      </c>
      <c r="L82" s="108">
        <f t="shared" si="18"/>
        <v>0.5</v>
      </c>
      <c r="M82" s="108">
        <f t="shared" si="19"/>
        <v>0</v>
      </c>
      <c r="N82" s="108">
        <f t="shared" si="20"/>
        <v>0</v>
      </c>
      <c r="O82" s="108">
        <f t="shared" si="21"/>
        <v>0.5</v>
      </c>
      <c r="P82" s="108">
        <f t="shared" si="22"/>
        <v>0.5</v>
      </c>
      <c r="Q82" s="108">
        <f t="shared" si="23"/>
        <v>0.5</v>
      </c>
      <c r="R82" s="108">
        <f t="shared" si="24"/>
        <v>0</v>
      </c>
      <c r="S82" s="108">
        <f t="shared" si="25"/>
        <v>0</v>
      </c>
      <c r="T82" s="108">
        <f t="shared" si="26"/>
        <v>0.5</v>
      </c>
      <c r="U82" s="108">
        <f t="shared" si="27"/>
        <v>0.5</v>
      </c>
      <c r="V82" s="108">
        <f t="shared" si="28"/>
        <v>0.5</v>
      </c>
      <c r="W82" s="108">
        <f t="shared" si="29"/>
        <v>0</v>
      </c>
      <c r="X82" s="108">
        <f t="shared" si="30"/>
        <v>0</v>
      </c>
    </row>
    <row r="83" ht="15.75" customHeight="1">
      <c r="A83" s="104">
        <v>20.0</v>
      </c>
      <c r="B83" s="105">
        <f t="shared" si="9"/>
        <v>2.5</v>
      </c>
      <c r="C83" s="58" t="s">
        <v>70</v>
      </c>
      <c r="D83" s="106">
        <f t="shared" si="10"/>
        <v>2.5</v>
      </c>
      <c r="E83" s="107">
        <f t="shared" si="11"/>
        <v>0</v>
      </c>
      <c r="F83" s="108">
        <f t="shared" si="12"/>
        <v>0</v>
      </c>
      <c r="G83" s="108">
        <f t="shared" si="13"/>
        <v>0</v>
      </c>
      <c r="H83" s="108">
        <f t="shared" si="14"/>
        <v>0</v>
      </c>
      <c r="I83" s="108">
        <f t="shared" si="15"/>
        <v>0</v>
      </c>
      <c r="J83" s="108">
        <f t="shared" si="16"/>
        <v>0</v>
      </c>
      <c r="K83" s="108">
        <f t="shared" si="17"/>
        <v>0</v>
      </c>
      <c r="L83" s="108">
        <f t="shared" si="18"/>
        <v>0.5</v>
      </c>
      <c r="M83" s="108">
        <f t="shared" si="19"/>
        <v>0</v>
      </c>
      <c r="N83" s="108">
        <f t="shared" si="20"/>
        <v>0</v>
      </c>
      <c r="O83" s="108">
        <f t="shared" si="21"/>
        <v>0.5</v>
      </c>
      <c r="P83" s="108">
        <f t="shared" si="22"/>
        <v>0.5</v>
      </c>
      <c r="Q83" s="108">
        <f t="shared" si="23"/>
        <v>0</v>
      </c>
      <c r="R83" s="108">
        <f t="shared" si="24"/>
        <v>0</v>
      </c>
      <c r="S83" s="108">
        <f t="shared" si="25"/>
        <v>0.5</v>
      </c>
      <c r="T83" s="108">
        <f t="shared" si="26"/>
        <v>0.5</v>
      </c>
      <c r="U83" s="108">
        <f t="shared" si="27"/>
        <v>0</v>
      </c>
      <c r="V83" s="108">
        <f t="shared" si="28"/>
        <v>0</v>
      </c>
      <c r="W83" s="108">
        <f t="shared" si="29"/>
        <v>0</v>
      </c>
      <c r="X83" s="108">
        <f t="shared" si="30"/>
        <v>0</v>
      </c>
    </row>
    <row r="84" ht="15.75" customHeight="1">
      <c r="A84" s="104">
        <v>21.0</v>
      </c>
      <c r="B84" s="105">
        <f t="shared" si="9"/>
        <v>5</v>
      </c>
      <c r="C84" s="55" t="s">
        <v>72</v>
      </c>
      <c r="D84" s="106">
        <f t="shared" si="10"/>
        <v>5</v>
      </c>
      <c r="E84" s="107">
        <f t="shared" si="11"/>
        <v>0</v>
      </c>
      <c r="F84" s="108">
        <f t="shared" si="12"/>
        <v>0</v>
      </c>
      <c r="G84" s="108">
        <f t="shared" si="13"/>
        <v>0</v>
      </c>
      <c r="H84" s="108">
        <f t="shared" si="14"/>
        <v>0.5</v>
      </c>
      <c r="I84" s="108">
        <f t="shared" si="15"/>
        <v>0</v>
      </c>
      <c r="J84" s="108">
        <f t="shared" si="16"/>
        <v>0.5</v>
      </c>
      <c r="K84" s="108">
        <f t="shared" si="17"/>
        <v>0</v>
      </c>
      <c r="L84" s="108">
        <f t="shared" si="18"/>
        <v>0</v>
      </c>
      <c r="M84" s="108">
        <f t="shared" si="19"/>
        <v>0.5</v>
      </c>
      <c r="N84" s="108">
        <f t="shared" si="20"/>
        <v>0</v>
      </c>
      <c r="O84" s="108">
        <f t="shared" si="21"/>
        <v>0.5</v>
      </c>
      <c r="P84" s="108">
        <f t="shared" si="22"/>
        <v>0.5</v>
      </c>
      <c r="Q84" s="108">
        <f t="shared" si="23"/>
        <v>0.5</v>
      </c>
      <c r="R84" s="108">
        <f t="shared" si="24"/>
        <v>0</v>
      </c>
      <c r="S84" s="108">
        <f t="shared" si="25"/>
        <v>0.5</v>
      </c>
      <c r="T84" s="108">
        <f t="shared" si="26"/>
        <v>0.5</v>
      </c>
      <c r="U84" s="108">
        <f t="shared" si="27"/>
        <v>0.5</v>
      </c>
      <c r="V84" s="108">
        <f t="shared" si="28"/>
        <v>0</v>
      </c>
      <c r="W84" s="108">
        <f t="shared" si="29"/>
        <v>0</v>
      </c>
      <c r="X84" s="108">
        <f t="shared" si="30"/>
        <v>0.5</v>
      </c>
    </row>
    <row r="85" ht="15.75" customHeight="1">
      <c r="A85" s="104">
        <v>22.0</v>
      </c>
      <c r="B85" s="105">
        <f t="shared" si="9"/>
        <v>4</v>
      </c>
      <c r="C85" s="55" t="s">
        <v>74</v>
      </c>
      <c r="D85" s="106">
        <f t="shared" si="10"/>
        <v>4</v>
      </c>
      <c r="E85" s="107">
        <f t="shared" si="11"/>
        <v>0</v>
      </c>
      <c r="F85" s="108">
        <f t="shared" si="12"/>
        <v>0.5</v>
      </c>
      <c r="G85" s="108">
        <f t="shared" si="13"/>
        <v>0</v>
      </c>
      <c r="H85" s="108">
        <f t="shared" si="14"/>
        <v>0.5</v>
      </c>
      <c r="I85" s="108">
        <f t="shared" si="15"/>
        <v>0.5</v>
      </c>
      <c r="J85" s="108">
        <f t="shared" si="16"/>
        <v>0</v>
      </c>
      <c r="K85" s="108">
        <f t="shared" si="17"/>
        <v>0</v>
      </c>
      <c r="L85" s="108">
        <f t="shared" si="18"/>
        <v>0</v>
      </c>
      <c r="M85" s="108">
        <f t="shared" si="19"/>
        <v>0.5</v>
      </c>
      <c r="N85" s="108">
        <f t="shared" si="20"/>
        <v>0</v>
      </c>
      <c r="O85" s="108">
        <f t="shared" si="21"/>
        <v>0</v>
      </c>
      <c r="P85" s="108">
        <f t="shared" si="22"/>
        <v>0.5</v>
      </c>
      <c r="Q85" s="108">
        <f t="shared" si="23"/>
        <v>0</v>
      </c>
      <c r="R85" s="108">
        <f t="shared" si="24"/>
        <v>0</v>
      </c>
      <c r="S85" s="108">
        <f t="shared" si="25"/>
        <v>0</v>
      </c>
      <c r="T85" s="108">
        <f t="shared" si="26"/>
        <v>0.5</v>
      </c>
      <c r="U85" s="108">
        <f t="shared" si="27"/>
        <v>0</v>
      </c>
      <c r="V85" s="108">
        <f t="shared" si="28"/>
        <v>0</v>
      </c>
      <c r="W85" s="108">
        <f t="shared" si="29"/>
        <v>0.5</v>
      </c>
      <c r="X85" s="108">
        <f t="shared" si="30"/>
        <v>0.5</v>
      </c>
    </row>
    <row r="86" ht="15.75" customHeight="1">
      <c r="A86" s="104">
        <v>23.0</v>
      </c>
      <c r="B86" s="105">
        <f t="shared" si="9"/>
        <v>5.5</v>
      </c>
      <c r="C86" s="55" t="s">
        <v>76</v>
      </c>
      <c r="D86" s="106">
        <f t="shared" si="10"/>
        <v>5.5</v>
      </c>
      <c r="E86" s="107">
        <f t="shared" si="11"/>
        <v>0.5</v>
      </c>
      <c r="F86" s="108">
        <f t="shared" si="12"/>
        <v>0</v>
      </c>
      <c r="G86" s="108">
        <f t="shared" si="13"/>
        <v>0</v>
      </c>
      <c r="H86" s="108">
        <f t="shared" si="14"/>
        <v>0.5</v>
      </c>
      <c r="I86" s="108">
        <f t="shared" si="15"/>
        <v>0</v>
      </c>
      <c r="J86" s="108">
        <f t="shared" si="16"/>
        <v>0</v>
      </c>
      <c r="K86" s="108">
        <f t="shared" si="17"/>
        <v>0.5</v>
      </c>
      <c r="L86" s="108">
        <f t="shared" si="18"/>
        <v>0</v>
      </c>
      <c r="M86" s="108">
        <f t="shared" si="19"/>
        <v>0.5</v>
      </c>
      <c r="N86" s="108">
        <f t="shared" si="20"/>
        <v>0.5</v>
      </c>
      <c r="O86" s="108">
        <f t="shared" si="21"/>
        <v>0.5</v>
      </c>
      <c r="P86" s="108">
        <f t="shared" si="22"/>
        <v>0.5</v>
      </c>
      <c r="Q86" s="108">
        <f t="shared" si="23"/>
        <v>0.5</v>
      </c>
      <c r="R86" s="108">
        <f t="shared" si="24"/>
        <v>0</v>
      </c>
      <c r="S86" s="108">
        <f t="shared" si="25"/>
        <v>0</v>
      </c>
      <c r="T86" s="108">
        <f t="shared" si="26"/>
        <v>0.5</v>
      </c>
      <c r="U86" s="108">
        <f t="shared" si="27"/>
        <v>0.5</v>
      </c>
      <c r="V86" s="108">
        <f t="shared" si="28"/>
        <v>0</v>
      </c>
      <c r="W86" s="108">
        <f t="shared" si="29"/>
        <v>0</v>
      </c>
      <c r="X86" s="108">
        <f t="shared" si="30"/>
        <v>0.5</v>
      </c>
    </row>
    <row r="87" ht="15.75" customHeight="1">
      <c r="A87" s="104">
        <v>24.0</v>
      </c>
      <c r="B87" s="105">
        <f t="shared" si="9"/>
        <v>1</v>
      </c>
      <c r="C87" s="57" t="s">
        <v>78</v>
      </c>
      <c r="D87" s="106">
        <f t="shared" si="10"/>
        <v>1</v>
      </c>
      <c r="E87" s="107">
        <f t="shared" si="11"/>
        <v>0</v>
      </c>
      <c r="F87" s="108">
        <f t="shared" si="12"/>
        <v>0</v>
      </c>
      <c r="G87" s="108">
        <f t="shared" si="13"/>
        <v>0</v>
      </c>
      <c r="H87" s="108">
        <f t="shared" si="14"/>
        <v>0</v>
      </c>
      <c r="I87" s="108">
        <f t="shared" si="15"/>
        <v>0</v>
      </c>
      <c r="J87" s="108">
        <f t="shared" si="16"/>
        <v>0</v>
      </c>
      <c r="K87" s="108">
        <f t="shared" si="17"/>
        <v>0</v>
      </c>
      <c r="L87" s="108">
        <f t="shared" si="18"/>
        <v>0</v>
      </c>
      <c r="M87" s="108">
        <f t="shared" si="19"/>
        <v>0.5</v>
      </c>
      <c r="N87" s="108">
        <f t="shared" si="20"/>
        <v>0</v>
      </c>
      <c r="O87" s="108">
        <f t="shared" si="21"/>
        <v>0</v>
      </c>
      <c r="P87" s="108">
        <f t="shared" si="22"/>
        <v>0</v>
      </c>
      <c r="Q87" s="108">
        <f t="shared" si="23"/>
        <v>0</v>
      </c>
      <c r="R87" s="108">
        <f t="shared" si="24"/>
        <v>0</v>
      </c>
      <c r="S87" s="108">
        <f t="shared" si="25"/>
        <v>0</v>
      </c>
      <c r="T87" s="108">
        <f t="shared" si="26"/>
        <v>0.5</v>
      </c>
      <c r="U87" s="108">
        <f t="shared" si="27"/>
        <v>0</v>
      </c>
      <c r="V87" s="108">
        <f t="shared" si="28"/>
        <v>0</v>
      </c>
      <c r="W87" s="108">
        <f t="shared" si="29"/>
        <v>0</v>
      </c>
      <c r="X87" s="108">
        <f t="shared" si="30"/>
        <v>0</v>
      </c>
    </row>
    <row r="88" ht="15.75" customHeight="1">
      <c r="A88" s="104">
        <v>25.0</v>
      </c>
      <c r="B88" s="105">
        <f t="shared" si="9"/>
        <v>5</v>
      </c>
      <c r="C88" s="55" t="s">
        <v>80</v>
      </c>
      <c r="D88" s="106">
        <f t="shared" si="10"/>
        <v>5</v>
      </c>
      <c r="E88" s="107">
        <f t="shared" si="11"/>
        <v>0</v>
      </c>
      <c r="F88" s="108">
        <f t="shared" si="12"/>
        <v>0.5</v>
      </c>
      <c r="G88" s="108">
        <f t="shared" si="13"/>
        <v>0</v>
      </c>
      <c r="H88" s="108">
        <f t="shared" si="14"/>
        <v>0.5</v>
      </c>
      <c r="I88" s="108">
        <f t="shared" si="15"/>
        <v>0</v>
      </c>
      <c r="J88" s="108">
        <f t="shared" si="16"/>
        <v>0</v>
      </c>
      <c r="K88" s="108">
        <f t="shared" si="17"/>
        <v>0.5</v>
      </c>
      <c r="L88" s="108">
        <f t="shared" si="18"/>
        <v>0.5</v>
      </c>
      <c r="M88" s="108">
        <f t="shared" si="19"/>
        <v>0.5</v>
      </c>
      <c r="N88" s="108">
        <f t="shared" si="20"/>
        <v>0</v>
      </c>
      <c r="O88" s="108">
        <f t="shared" si="21"/>
        <v>0</v>
      </c>
      <c r="P88" s="108">
        <f t="shared" si="22"/>
        <v>0.5</v>
      </c>
      <c r="Q88" s="108">
        <f t="shared" si="23"/>
        <v>0.5</v>
      </c>
      <c r="R88" s="108">
        <f t="shared" si="24"/>
        <v>0</v>
      </c>
      <c r="S88" s="108">
        <f t="shared" si="25"/>
        <v>0</v>
      </c>
      <c r="T88" s="108">
        <f t="shared" si="26"/>
        <v>0.5</v>
      </c>
      <c r="U88" s="108">
        <f t="shared" si="27"/>
        <v>0.5</v>
      </c>
      <c r="V88" s="108">
        <f t="shared" si="28"/>
        <v>0.5</v>
      </c>
      <c r="W88" s="108">
        <f t="shared" si="29"/>
        <v>0</v>
      </c>
      <c r="X88" s="108">
        <f t="shared" si="30"/>
        <v>0</v>
      </c>
    </row>
    <row r="89" ht="15.75" customHeight="1">
      <c r="A89" s="104">
        <v>26.0</v>
      </c>
      <c r="B89" s="105">
        <f t="shared" si="9"/>
        <v>5.5</v>
      </c>
      <c r="C89" s="55" t="s">
        <v>82</v>
      </c>
      <c r="D89" s="106">
        <f t="shared" si="10"/>
        <v>5.5</v>
      </c>
      <c r="E89" s="107">
        <f t="shared" si="11"/>
        <v>0</v>
      </c>
      <c r="F89" s="108">
        <f t="shared" si="12"/>
        <v>0.5</v>
      </c>
      <c r="G89" s="108">
        <f t="shared" si="13"/>
        <v>0</v>
      </c>
      <c r="H89" s="108">
        <f t="shared" si="14"/>
        <v>0.5</v>
      </c>
      <c r="I89" s="108">
        <f t="shared" si="15"/>
        <v>0</v>
      </c>
      <c r="J89" s="108">
        <f t="shared" si="16"/>
        <v>0</v>
      </c>
      <c r="K89" s="108">
        <f t="shared" si="17"/>
        <v>0.5</v>
      </c>
      <c r="L89" s="108">
        <f t="shared" si="18"/>
        <v>0</v>
      </c>
      <c r="M89" s="108">
        <f t="shared" si="19"/>
        <v>0.5</v>
      </c>
      <c r="N89" s="108">
        <f t="shared" si="20"/>
        <v>0.5</v>
      </c>
      <c r="O89" s="108">
        <f t="shared" si="21"/>
        <v>0.5</v>
      </c>
      <c r="P89" s="108">
        <f t="shared" si="22"/>
        <v>0.5</v>
      </c>
      <c r="Q89" s="108">
        <f t="shared" si="23"/>
        <v>0.5</v>
      </c>
      <c r="R89" s="108">
        <f t="shared" si="24"/>
        <v>0</v>
      </c>
      <c r="S89" s="108">
        <f t="shared" si="25"/>
        <v>0</v>
      </c>
      <c r="T89" s="108">
        <f t="shared" si="26"/>
        <v>0.5</v>
      </c>
      <c r="U89" s="108">
        <f t="shared" si="27"/>
        <v>0.5</v>
      </c>
      <c r="V89" s="108">
        <f t="shared" si="28"/>
        <v>0</v>
      </c>
      <c r="W89" s="108">
        <f t="shared" si="29"/>
        <v>0</v>
      </c>
      <c r="X89" s="108">
        <f t="shared" si="30"/>
        <v>0.5</v>
      </c>
    </row>
    <row r="90" ht="15.75" customHeight="1">
      <c r="A90" s="104">
        <v>27.0</v>
      </c>
      <c r="B90" s="105">
        <f t="shared" si="9"/>
        <v>8</v>
      </c>
      <c r="C90" s="55" t="s">
        <v>84</v>
      </c>
      <c r="D90" s="106">
        <f t="shared" si="10"/>
        <v>8</v>
      </c>
      <c r="E90" s="107">
        <f t="shared" si="11"/>
        <v>0.5</v>
      </c>
      <c r="F90" s="108">
        <f t="shared" si="12"/>
        <v>0.5</v>
      </c>
      <c r="G90" s="108">
        <f t="shared" si="13"/>
        <v>0</v>
      </c>
      <c r="H90" s="108">
        <f t="shared" si="14"/>
        <v>0.5</v>
      </c>
      <c r="I90" s="108">
        <f t="shared" si="15"/>
        <v>0.5</v>
      </c>
      <c r="J90" s="108">
        <f t="shared" si="16"/>
        <v>0.5</v>
      </c>
      <c r="K90" s="108">
        <f t="shared" si="17"/>
        <v>0.5</v>
      </c>
      <c r="L90" s="108">
        <f t="shared" si="18"/>
        <v>0.5</v>
      </c>
      <c r="M90" s="108">
        <f t="shared" si="19"/>
        <v>0.5</v>
      </c>
      <c r="N90" s="108">
        <f t="shared" si="20"/>
        <v>0.5</v>
      </c>
      <c r="O90" s="108">
        <f t="shared" si="21"/>
        <v>0.5</v>
      </c>
      <c r="P90" s="108">
        <f t="shared" si="22"/>
        <v>0.5</v>
      </c>
      <c r="Q90" s="108">
        <f t="shared" si="23"/>
        <v>0.5</v>
      </c>
      <c r="R90" s="108">
        <f t="shared" si="24"/>
        <v>0</v>
      </c>
      <c r="S90" s="108">
        <f t="shared" si="25"/>
        <v>0.5</v>
      </c>
      <c r="T90" s="108">
        <f t="shared" si="26"/>
        <v>0.5</v>
      </c>
      <c r="U90" s="108">
        <f t="shared" si="27"/>
        <v>0.5</v>
      </c>
      <c r="V90" s="108">
        <f t="shared" si="28"/>
        <v>0</v>
      </c>
      <c r="W90" s="108">
        <f t="shared" si="29"/>
        <v>0.5</v>
      </c>
      <c r="X90" s="108">
        <f t="shared" si="30"/>
        <v>0</v>
      </c>
    </row>
    <row r="91" ht="15.75" customHeight="1">
      <c r="A91" s="104">
        <v>28.0</v>
      </c>
      <c r="B91" s="105">
        <f t="shared" si="9"/>
        <v>5.5</v>
      </c>
      <c r="C91" s="55" t="s">
        <v>86</v>
      </c>
      <c r="D91" s="106">
        <f t="shared" si="10"/>
        <v>5.5</v>
      </c>
      <c r="E91" s="107">
        <f t="shared" si="11"/>
        <v>0</v>
      </c>
      <c r="F91" s="108">
        <f t="shared" si="12"/>
        <v>0.5</v>
      </c>
      <c r="G91" s="108">
        <f t="shared" si="13"/>
        <v>0</v>
      </c>
      <c r="H91" s="108">
        <f t="shared" si="14"/>
        <v>0.5</v>
      </c>
      <c r="I91" s="108">
        <f t="shared" si="15"/>
        <v>0</v>
      </c>
      <c r="J91" s="108">
        <f t="shared" si="16"/>
        <v>0</v>
      </c>
      <c r="K91" s="108">
        <f t="shared" si="17"/>
        <v>0.5</v>
      </c>
      <c r="L91" s="108">
        <f t="shared" si="18"/>
        <v>0</v>
      </c>
      <c r="M91" s="108">
        <f t="shared" si="19"/>
        <v>0.5</v>
      </c>
      <c r="N91" s="108">
        <f t="shared" si="20"/>
        <v>0</v>
      </c>
      <c r="O91" s="108">
        <f t="shared" si="21"/>
        <v>0</v>
      </c>
      <c r="P91" s="108">
        <f t="shared" si="22"/>
        <v>0.5</v>
      </c>
      <c r="Q91" s="108">
        <f t="shared" si="23"/>
        <v>0.5</v>
      </c>
      <c r="R91" s="108">
        <f t="shared" si="24"/>
        <v>0</v>
      </c>
      <c r="S91" s="108">
        <f t="shared" si="25"/>
        <v>0.5</v>
      </c>
      <c r="T91" s="108">
        <f t="shared" si="26"/>
        <v>0.5</v>
      </c>
      <c r="U91" s="108">
        <f t="shared" si="27"/>
        <v>0.5</v>
      </c>
      <c r="V91" s="108">
        <f t="shared" si="28"/>
        <v>0</v>
      </c>
      <c r="W91" s="108">
        <f t="shared" si="29"/>
        <v>0.5</v>
      </c>
      <c r="X91" s="108">
        <f t="shared" si="30"/>
        <v>0.5</v>
      </c>
    </row>
    <row r="92" ht="15.75" customHeight="1">
      <c r="A92" s="104">
        <v>29.0</v>
      </c>
      <c r="B92" s="105">
        <f t="shared" si="9"/>
        <v>3</v>
      </c>
      <c r="C92" s="55" t="s">
        <v>88</v>
      </c>
      <c r="D92" s="106">
        <f t="shared" si="10"/>
        <v>3</v>
      </c>
      <c r="E92" s="107">
        <f t="shared" si="11"/>
        <v>0</v>
      </c>
      <c r="F92" s="108">
        <f t="shared" si="12"/>
        <v>0.5</v>
      </c>
      <c r="G92" s="108">
        <f t="shared" si="13"/>
        <v>0</v>
      </c>
      <c r="H92" s="108">
        <f t="shared" si="14"/>
        <v>0.5</v>
      </c>
      <c r="I92" s="108">
        <f t="shared" si="15"/>
        <v>0</v>
      </c>
      <c r="J92" s="108">
        <f t="shared" si="16"/>
        <v>0</v>
      </c>
      <c r="K92" s="108">
        <f t="shared" si="17"/>
        <v>0</v>
      </c>
      <c r="L92" s="108">
        <f t="shared" si="18"/>
        <v>0</v>
      </c>
      <c r="M92" s="108">
        <f t="shared" si="19"/>
        <v>0</v>
      </c>
      <c r="N92" s="108">
        <f t="shared" si="20"/>
        <v>0</v>
      </c>
      <c r="O92" s="108">
        <f t="shared" si="21"/>
        <v>0.5</v>
      </c>
      <c r="P92" s="108">
        <f t="shared" si="22"/>
        <v>0.5</v>
      </c>
      <c r="Q92" s="108">
        <f t="shared" si="23"/>
        <v>0</v>
      </c>
      <c r="R92" s="108">
        <f t="shared" si="24"/>
        <v>0</v>
      </c>
      <c r="S92" s="108">
        <f t="shared" si="25"/>
        <v>0</v>
      </c>
      <c r="T92" s="108">
        <f t="shared" si="26"/>
        <v>0.5</v>
      </c>
      <c r="U92" s="108">
        <f t="shared" si="27"/>
        <v>0</v>
      </c>
      <c r="V92" s="108">
        <f t="shared" si="28"/>
        <v>0</v>
      </c>
      <c r="W92" s="108">
        <f t="shared" si="29"/>
        <v>0</v>
      </c>
      <c r="X92" s="108">
        <f t="shared" si="30"/>
        <v>0.5</v>
      </c>
    </row>
    <row r="93" ht="15.75" customHeight="1">
      <c r="A93" s="104">
        <v>30.0</v>
      </c>
      <c r="B93" s="105">
        <f t="shared" si="9"/>
        <v>6.5</v>
      </c>
      <c r="C93" s="55" t="s">
        <v>90</v>
      </c>
      <c r="D93" s="106">
        <f t="shared" si="10"/>
        <v>6.5</v>
      </c>
      <c r="E93" s="107">
        <f t="shared" si="11"/>
        <v>0.5</v>
      </c>
      <c r="F93" s="108">
        <f t="shared" si="12"/>
        <v>0.5</v>
      </c>
      <c r="G93" s="108">
        <f t="shared" si="13"/>
        <v>0.5</v>
      </c>
      <c r="H93" s="108">
        <f t="shared" si="14"/>
        <v>0.5</v>
      </c>
      <c r="I93" s="108">
        <f t="shared" si="15"/>
        <v>0</v>
      </c>
      <c r="J93" s="108">
        <f t="shared" si="16"/>
        <v>0.5</v>
      </c>
      <c r="K93" s="108">
        <f t="shared" si="17"/>
        <v>0</v>
      </c>
      <c r="L93" s="108">
        <f t="shared" si="18"/>
        <v>0.5</v>
      </c>
      <c r="M93" s="108">
        <f t="shared" si="19"/>
        <v>0.5</v>
      </c>
      <c r="N93" s="108">
        <f t="shared" si="20"/>
        <v>0</v>
      </c>
      <c r="O93" s="108">
        <f t="shared" si="21"/>
        <v>0.5</v>
      </c>
      <c r="P93" s="108">
        <f t="shared" si="22"/>
        <v>0.5</v>
      </c>
      <c r="Q93" s="108">
        <f t="shared" si="23"/>
        <v>0.5</v>
      </c>
      <c r="R93" s="108">
        <f t="shared" si="24"/>
        <v>0.5</v>
      </c>
      <c r="S93" s="108">
        <f t="shared" si="25"/>
        <v>0</v>
      </c>
      <c r="T93" s="108">
        <f t="shared" si="26"/>
        <v>0.5</v>
      </c>
      <c r="U93" s="108">
        <f t="shared" si="27"/>
        <v>0.5</v>
      </c>
      <c r="V93" s="108">
        <f t="shared" si="28"/>
        <v>0</v>
      </c>
      <c r="W93" s="108">
        <f t="shared" si="29"/>
        <v>0</v>
      </c>
      <c r="X93" s="108">
        <f t="shared" si="30"/>
        <v>0</v>
      </c>
    </row>
    <row r="94" ht="15.75" customHeight="1">
      <c r="A94" s="104">
        <v>31.0</v>
      </c>
      <c r="B94" s="105">
        <f t="shared" si="9"/>
        <v>5.5</v>
      </c>
      <c r="C94" s="55" t="s">
        <v>92</v>
      </c>
      <c r="D94" s="106">
        <f t="shared" si="10"/>
        <v>5.5</v>
      </c>
      <c r="E94" s="107">
        <f t="shared" si="11"/>
        <v>0</v>
      </c>
      <c r="F94" s="108">
        <f t="shared" si="12"/>
        <v>0</v>
      </c>
      <c r="G94" s="108">
        <f t="shared" si="13"/>
        <v>0</v>
      </c>
      <c r="H94" s="108">
        <f t="shared" si="14"/>
        <v>0.5</v>
      </c>
      <c r="I94" s="108">
        <f t="shared" si="15"/>
        <v>0</v>
      </c>
      <c r="J94" s="108">
        <f t="shared" si="16"/>
        <v>0</v>
      </c>
      <c r="K94" s="108">
        <f t="shared" si="17"/>
        <v>0.5</v>
      </c>
      <c r="L94" s="108">
        <f t="shared" si="18"/>
        <v>0.5</v>
      </c>
      <c r="M94" s="108">
        <f t="shared" si="19"/>
        <v>0.5</v>
      </c>
      <c r="N94" s="108">
        <f t="shared" si="20"/>
        <v>0.5</v>
      </c>
      <c r="O94" s="108">
        <f t="shared" si="21"/>
        <v>0.5</v>
      </c>
      <c r="P94" s="108">
        <f t="shared" si="22"/>
        <v>0.5</v>
      </c>
      <c r="Q94" s="108">
        <f t="shared" si="23"/>
        <v>0.5</v>
      </c>
      <c r="R94" s="108">
        <f t="shared" si="24"/>
        <v>0</v>
      </c>
      <c r="S94" s="108">
        <f t="shared" si="25"/>
        <v>0</v>
      </c>
      <c r="T94" s="108">
        <f t="shared" si="26"/>
        <v>0.5</v>
      </c>
      <c r="U94" s="108">
        <f t="shared" si="27"/>
        <v>0.5</v>
      </c>
      <c r="V94" s="108">
        <f t="shared" si="28"/>
        <v>0.5</v>
      </c>
      <c r="W94" s="108">
        <f t="shared" si="29"/>
        <v>0</v>
      </c>
      <c r="X94" s="108">
        <f t="shared" si="30"/>
        <v>0</v>
      </c>
    </row>
    <row r="95" ht="15.75" customHeight="1">
      <c r="A95" s="109">
        <v>32.0</v>
      </c>
      <c r="B95" s="105">
        <f t="shared" si="9"/>
        <v>4.5</v>
      </c>
      <c r="C95" s="55" t="s">
        <v>94</v>
      </c>
      <c r="D95" s="106">
        <f t="shared" si="10"/>
        <v>4.5</v>
      </c>
      <c r="E95" s="107">
        <f t="shared" si="11"/>
        <v>0</v>
      </c>
      <c r="F95" s="108">
        <f t="shared" si="12"/>
        <v>0.5</v>
      </c>
      <c r="G95" s="108">
        <f t="shared" si="13"/>
        <v>0</v>
      </c>
      <c r="H95" s="108">
        <f t="shared" si="14"/>
        <v>0.5</v>
      </c>
      <c r="I95" s="108">
        <f t="shared" si="15"/>
        <v>0</v>
      </c>
      <c r="J95" s="108">
        <f t="shared" si="16"/>
        <v>0</v>
      </c>
      <c r="K95" s="108">
        <f t="shared" si="17"/>
        <v>0.5</v>
      </c>
      <c r="L95" s="108">
        <f t="shared" si="18"/>
        <v>0</v>
      </c>
      <c r="M95" s="108">
        <f t="shared" si="19"/>
        <v>0.5</v>
      </c>
      <c r="N95" s="108">
        <f t="shared" si="20"/>
        <v>0</v>
      </c>
      <c r="O95" s="108">
        <f t="shared" si="21"/>
        <v>0</v>
      </c>
      <c r="P95" s="108">
        <f t="shared" si="22"/>
        <v>0.5</v>
      </c>
      <c r="Q95" s="108">
        <f t="shared" si="23"/>
        <v>0.5</v>
      </c>
      <c r="R95" s="108">
        <f t="shared" si="24"/>
        <v>0</v>
      </c>
      <c r="S95" s="108">
        <f t="shared" si="25"/>
        <v>0.5</v>
      </c>
      <c r="T95" s="108">
        <f t="shared" si="26"/>
        <v>0.5</v>
      </c>
      <c r="U95" s="108">
        <f t="shared" si="27"/>
        <v>0</v>
      </c>
      <c r="V95" s="108">
        <f t="shared" si="28"/>
        <v>0.5</v>
      </c>
      <c r="W95" s="108">
        <f t="shared" si="29"/>
        <v>0</v>
      </c>
      <c r="X95" s="108">
        <f t="shared" si="30"/>
        <v>0</v>
      </c>
    </row>
    <row r="96" ht="15.75" customHeight="1">
      <c r="A96" s="109">
        <v>33.0</v>
      </c>
      <c r="B96" s="105">
        <f t="shared" si="9"/>
        <v>5.5</v>
      </c>
      <c r="C96" s="55" t="s">
        <v>96</v>
      </c>
      <c r="D96" s="106">
        <f t="shared" si="10"/>
        <v>5.5</v>
      </c>
      <c r="E96" s="107">
        <f t="shared" si="11"/>
        <v>0</v>
      </c>
      <c r="F96" s="108">
        <f t="shared" si="12"/>
        <v>0.5</v>
      </c>
      <c r="G96" s="108">
        <f t="shared" si="13"/>
        <v>0</v>
      </c>
      <c r="H96" s="108">
        <f t="shared" si="14"/>
        <v>0.5</v>
      </c>
      <c r="I96" s="108">
        <f t="shared" si="15"/>
        <v>0</v>
      </c>
      <c r="J96" s="108">
        <f t="shared" si="16"/>
        <v>0.5</v>
      </c>
      <c r="K96" s="108">
        <f t="shared" si="17"/>
        <v>0.5</v>
      </c>
      <c r="L96" s="108">
        <f t="shared" si="18"/>
        <v>0.5</v>
      </c>
      <c r="M96" s="108">
        <f t="shared" si="19"/>
        <v>0</v>
      </c>
      <c r="N96" s="108">
        <f t="shared" si="20"/>
        <v>0</v>
      </c>
      <c r="O96" s="108">
        <f t="shared" si="21"/>
        <v>0.5</v>
      </c>
      <c r="P96" s="108">
        <f t="shared" si="22"/>
        <v>0.5</v>
      </c>
      <c r="Q96" s="108">
        <f t="shared" si="23"/>
        <v>0.5</v>
      </c>
      <c r="R96" s="108">
        <f t="shared" si="24"/>
        <v>0</v>
      </c>
      <c r="S96" s="108">
        <f t="shared" si="25"/>
        <v>0</v>
      </c>
      <c r="T96" s="108">
        <f t="shared" si="26"/>
        <v>0.5</v>
      </c>
      <c r="U96" s="108">
        <f t="shared" si="27"/>
        <v>0.5</v>
      </c>
      <c r="V96" s="108">
        <f t="shared" si="28"/>
        <v>0</v>
      </c>
      <c r="W96" s="108">
        <f t="shared" si="29"/>
        <v>0.5</v>
      </c>
      <c r="X96" s="108">
        <f t="shared" si="30"/>
        <v>0</v>
      </c>
    </row>
    <row r="97" ht="15.75" customHeight="1">
      <c r="A97" s="109">
        <v>34.0</v>
      </c>
      <c r="B97" s="105">
        <f t="shared" si="9"/>
        <v>6.5</v>
      </c>
      <c r="C97" s="55" t="s">
        <v>98</v>
      </c>
      <c r="D97" s="106">
        <f t="shared" si="10"/>
        <v>6.5</v>
      </c>
      <c r="E97" s="107">
        <f t="shared" si="11"/>
        <v>0</v>
      </c>
      <c r="F97" s="108">
        <f t="shared" si="12"/>
        <v>0.5</v>
      </c>
      <c r="G97" s="108">
        <f t="shared" si="13"/>
        <v>0</v>
      </c>
      <c r="H97" s="108">
        <f t="shared" si="14"/>
        <v>0.5</v>
      </c>
      <c r="I97" s="108">
        <f t="shared" si="15"/>
        <v>0.5</v>
      </c>
      <c r="J97" s="108">
        <f t="shared" si="16"/>
        <v>0</v>
      </c>
      <c r="K97" s="108">
        <f t="shared" si="17"/>
        <v>0.5</v>
      </c>
      <c r="L97" s="108">
        <f t="shared" si="18"/>
        <v>0.5</v>
      </c>
      <c r="M97" s="108">
        <f t="shared" si="19"/>
        <v>0</v>
      </c>
      <c r="N97" s="108">
        <f t="shared" si="20"/>
        <v>0.5</v>
      </c>
      <c r="O97" s="108">
        <f t="shared" si="21"/>
        <v>0.5</v>
      </c>
      <c r="P97" s="108">
        <f t="shared" si="22"/>
        <v>0.5</v>
      </c>
      <c r="Q97" s="108">
        <f t="shared" si="23"/>
        <v>0.5</v>
      </c>
      <c r="R97" s="108">
        <f t="shared" si="24"/>
        <v>0</v>
      </c>
      <c r="S97" s="108">
        <f t="shared" si="25"/>
        <v>0.5</v>
      </c>
      <c r="T97" s="108">
        <f t="shared" si="26"/>
        <v>0.5</v>
      </c>
      <c r="U97" s="108">
        <f t="shared" si="27"/>
        <v>0.5</v>
      </c>
      <c r="V97" s="108">
        <f t="shared" si="28"/>
        <v>0.5</v>
      </c>
      <c r="W97" s="108">
        <f t="shared" si="29"/>
        <v>0</v>
      </c>
      <c r="X97" s="108">
        <f t="shared" si="30"/>
        <v>0</v>
      </c>
    </row>
    <row r="98" ht="15.75" customHeight="1">
      <c r="A98" s="109">
        <v>35.0</v>
      </c>
      <c r="B98" s="105">
        <f t="shared" si="9"/>
        <v>4.5</v>
      </c>
      <c r="C98" s="55" t="s">
        <v>100</v>
      </c>
      <c r="D98" s="106">
        <f t="shared" si="10"/>
        <v>4.5</v>
      </c>
      <c r="E98" s="107">
        <f t="shared" si="11"/>
        <v>0.5</v>
      </c>
      <c r="F98" s="108">
        <f t="shared" si="12"/>
        <v>0.5</v>
      </c>
      <c r="G98" s="108">
        <f t="shared" si="13"/>
        <v>0</v>
      </c>
      <c r="H98" s="108">
        <f t="shared" si="14"/>
        <v>0.5</v>
      </c>
      <c r="I98" s="108">
        <f t="shared" si="15"/>
        <v>0</v>
      </c>
      <c r="J98" s="108">
        <f t="shared" si="16"/>
        <v>0.5</v>
      </c>
      <c r="K98" s="108">
        <f t="shared" si="17"/>
        <v>0</v>
      </c>
      <c r="L98" s="108">
        <f t="shared" si="18"/>
        <v>0</v>
      </c>
      <c r="M98" s="108">
        <f t="shared" si="19"/>
        <v>0.5</v>
      </c>
      <c r="N98" s="108">
        <f t="shared" si="20"/>
        <v>0</v>
      </c>
      <c r="O98" s="108">
        <f t="shared" si="21"/>
        <v>0</v>
      </c>
      <c r="P98" s="108">
        <f t="shared" si="22"/>
        <v>0.5</v>
      </c>
      <c r="Q98" s="108">
        <f t="shared" si="23"/>
        <v>0.5</v>
      </c>
      <c r="R98" s="108">
        <f t="shared" si="24"/>
        <v>0</v>
      </c>
      <c r="S98" s="108">
        <f t="shared" si="25"/>
        <v>0</v>
      </c>
      <c r="T98" s="108">
        <f t="shared" si="26"/>
        <v>0</v>
      </c>
      <c r="U98" s="108">
        <f t="shared" si="27"/>
        <v>0.5</v>
      </c>
      <c r="V98" s="108">
        <f t="shared" si="28"/>
        <v>0.5</v>
      </c>
      <c r="W98" s="108">
        <f t="shared" si="29"/>
        <v>0</v>
      </c>
      <c r="X98" s="108">
        <f t="shared" si="30"/>
        <v>0</v>
      </c>
    </row>
    <row r="99" ht="15.75" customHeight="1">
      <c r="A99" s="109">
        <v>36.0</v>
      </c>
      <c r="B99" s="105">
        <f t="shared" si="9"/>
        <v>7</v>
      </c>
      <c r="C99" s="55" t="s">
        <v>102</v>
      </c>
      <c r="D99" s="106">
        <f t="shared" si="10"/>
        <v>7</v>
      </c>
      <c r="E99" s="107">
        <f t="shared" si="11"/>
        <v>0</v>
      </c>
      <c r="F99" s="108">
        <f t="shared" si="12"/>
        <v>0</v>
      </c>
      <c r="G99" s="108">
        <f t="shared" si="13"/>
        <v>0.5</v>
      </c>
      <c r="H99" s="108">
        <f t="shared" si="14"/>
        <v>0.5</v>
      </c>
      <c r="I99" s="108">
        <f t="shared" si="15"/>
        <v>0</v>
      </c>
      <c r="J99" s="108">
        <f t="shared" si="16"/>
        <v>0.5</v>
      </c>
      <c r="K99" s="108">
        <f t="shared" si="17"/>
        <v>0.5</v>
      </c>
      <c r="L99" s="108">
        <f t="shared" si="18"/>
        <v>0.5</v>
      </c>
      <c r="M99" s="108">
        <f t="shared" si="19"/>
        <v>0.5</v>
      </c>
      <c r="N99" s="108">
        <f t="shared" si="20"/>
        <v>0.5</v>
      </c>
      <c r="O99" s="108">
        <f t="shared" si="21"/>
        <v>0.5</v>
      </c>
      <c r="P99" s="108">
        <f t="shared" si="22"/>
        <v>0.5</v>
      </c>
      <c r="Q99" s="108">
        <f t="shared" si="23"/>
        <v>0.5</v>
      </c>
      <c r="R99" s="108">
        <f t="shared" si="24"/>
        <v>0.5</v>
      </c>
      <c r="S99" s="108">
        <f t="shared" si="25"/>
        <v>0</v>
      </c>
      <c r="T99" s="108">
        <f t="shared" si="26"/>
        <v>0.5</v>
      </c>
      <c r="U99" s="108">
        <f t="shared" si="27"/>
        <v>0.5</v>
      </c>
      <c r="V99" s="108">
        <f t="shared" si="28"/>
        <v>0</v>
      </c>
      <c r="W99" s="108">
        <f t="shared" si="29"/>
        <v>0.5</v>
      </c>
      <c r="X99" s="108">
        <f t="shared" si="30"/>
        <v>0</v>
      </c>
    </row>
    <row r="100" ht="15.75" customHeight="1">
      <c r="A100" s="109">
        <v>37.0</v>
      </c>
      <c r="B100" s="105">
        <f t="shared" si="9"/>
        <v>7.5</v>
      </c>
      <c r="C100" s="55" t="s">
        <v>104</v>
      </c>
      <c r="D100" s="106">
        <f t="shared" si="10"/>
        <v>7.5</v>
      </c>
      <c r="E100" s="107">
        <f t="shared" si="11"/>
        <v>0</v>
      </c>
      <c r="F100" s="108">
        <f t="shared" si="12"/>
        <v>0.5</v>
      </c>
      <c r="G100" s="108">
        <f t="shared" si="13"/>
        <v>0.5</v>
      </c>
      <c r="H100" s="108">
        <f t="shared" si="14"/>
        <v>0.5</v>
      </c>
      <c r="I100" s="108">
        <f t="shared" si="15"/>
        <v>0.5</v>
      </c>
      <c r="J100" s="108">
        <f t="shared" si="16"/>
        <v>0.5</v>
      </c>
      <c r="K100" s="108">
        <f t="shared" si="17"/>
        <v>0.5</v>
      </c>
      <c r="L100" s="108">
        <f t="shared" si="18"/>
        <v>0.5</v>
      </c>
      <c r="M100" s="108">
        <f t="shared" si="19"/>
        <v>0.5</v>
      </c>
      <c r="N100" s="108">
        <f t="shared" si="20"/>
        <v>0.5</v>
      </c>
      <c r="O100" s="108">
        <f t="shared" si="21"/>
        <v>0.5</v>
      </c>
      <c r="P100" s="108">
        <f t="shared" si="22"/>
        <v>0.5</v>
      </c>
      <c r="Q100" s="108">
        <f t="shared" si="23"/>
        <v>0.5</v>
      </c>
      <c r="R100" s="108">
        <f t="shared" si="24"/>
        <v>0</v>
      </c>
      <c r="S100" s="108">
        <f t="shared" si="25"/>
        <v>0</v>
      </c>
      <c r="T100" s="108">
        <f t="shared" si="26"/>
        <v>0.5</v>
      </c>
      <c r="U100" s="108">
        <f t="shared" si="27"/>
        <v>0.5</v>
      </c>
      <c r="V100" s="108">
        <f t="shared" si="28"/>
        <v>0.5</v>
      </c>
      <c r="W100" s="108">
        <f t="shared" si="29"/>
        <v>0</v>
      </c>
      <c r="X100" s="108">
        <f t="shared" si="30"/>
        <v>0</v>
      </c>
    </row>
    <row r="101" ht="15.75" customHeight="1">
      <c r="A101" s="110">
        <v>38.0</v>
      </c>
      <c r="B101" s="111">
        <f t="shared" si="9"/>
        <v>0</v>
      </c>
      <c r="C101" s="63" t="s">
        <v>106</v>
      </c>
      <c r="D101" s="112">
        <f t="shared" si="10"/>
        <v>0</v>
      </c>
      <c r="E101" s="113">
        <f t="shared" si="11"/>
        <v>0</v>
      </c>
      <c r="F101" s="114">
        <f t="shared" si="12"/>
        <v>0</v>
      </c>
      <c r="G101" s="114">
        <f t="shared" si="13"/>
        <v>0</v>
      </c>
      <c r="H101" s="114">
        <f t="shared" si="14"/>
        <v>0</v>
      </c>
      <c r="I101" s="114">
        <f t="shared" si="15"/>
        <v>0</v>
      </c>
      <c r="J101" s="114">
        <f t="shared" si="16"/>
        <v>0</v>
      </c>
      <c r="K101" s="114">
        <f t="shared" si="17"/>
        <v>0</v>
      </c>
      <c r="L101" s="114">
        <f t="shared" si="18"/>
        <v>0</v>
      </c>
      <c r="M101" s="114">
        <f t="shared" si="19"/>
        <v>0</v>
      </c>
      <c r="N101" s="114">
        <f t="shared" si="20"/>
        <v>0</v>
      </c>
      <c r="O101" s="114">
        <f t="shared" si="21"/>
        <v>0</v>
      </c>
      <c r="P101" s="114">
        <f t="shared" si="22"/>
        <v>0</v>
      </c>
      <c r="Q101" s="114">
        <f t="shared" si="23"/>
        <v>0</v>
      </c>
      <c r="R101" s="114">
        <f t="shared" si="24"/>
        <v>0</v>
      </c>
      <c r="S101" s="114">
        <f t="shared" si="25"/>
        <v>0</v>
      </c>
      <c r="T101" s="114">
        <f t="shared" si="26"/>
        <v>0</v>
      </c>
      <c r="U101" s="114">
        <f t="shared" si="27"/>
        <v>0</v>
      </c>
      <c r="V101" s="114">
        <f t="shared" si="28"/>
        <v>0</v>
      </c>
      <c r="W101" s="114">
        <f t="shared" si="29"/>
        <v>0</v>
      </c>
      <c r="X101" s="114">
        <f t="shared" si="30"/>
        <v>0</v>
      </c>
    </row>
    <row r="102" ht="15.75" customHeight="1">
      <c r="A102" s="74"/>
      <c r="B102" s="115">
        <f>SUM(B64:B101)/35</f>
        <v>5.514285714</v>
      </c>
      <c r="D102" s="80"/>
    </row>
    <row r="103" ht="15.75" customHeight="1">
      <c r="A103" s="74"/>
      <c r="B103" s="75"/>
      <c r="D103" s="80"/>
    </row>
    <row r="104" ht="15.75" customHeight="1">
      <c r="A104" s="74"/>
      <c r="B104" s="75"/>
      <c r="D104" s="80"/>
    </row>
    <row r="105" ht="15.75" customHeight="1">
      <c r="A105" s="74"/>
      <c r="B105" s="75"/>
      <c r="D105" s="80"/>
    </row>
    <row r="106" ht="15.75" customHeight="1">
      <c r="A106" s="74"/>
      <c r="B106" s="75"/>
      <c r="D106" s="80"/>
    </row>
    <row r="107" ht="15.75" customHeight="1">
      <c r="A107" s="74"/>
      <c r="B107" s="75"/>
      <c r="D107" s="80"/>
    </row>
    <row r="108" ht="15.75" customHeight="1">
      <c r="A108" s="74"/>
      <c r="B108" s="75"/>
      <c r="D108" s="80"/>
    </row>
    <row r="109" ht="15.75" customHeight="1">
      <c r="A109" s="74"/>
      <c r="B109" s="75"/>
      <c r="D109" s="80"/>
    </row>
    <row r="110" ht="15.75" customHeight="1">
      <c r="A110" s="74"/>
      <c r="B110" s="75"/>
      <c r="D110" s="80"/>
    </row>
    <row r="111" ht="15.75" customHeight="1">
      <c r="A111" s="74"/>
      <c r="B111" s="75"/>
      <c r="D111" s="80"/>
    </row>
    <row r="112" ht="15.75" customHeight="1">
      <c r="A112" s="74"/>
      <c r="B112" s="75"/>
      <c r="D112" s="80"/>
    </row>
    <row r="113" ht="15.75" customHeight="1">
      <c r="A113" s="74"/>
      <c r="B113" s="75"/>
      <c r="D113" s="80"/>
    </row>
    <row r="114" ht="15.75" customHeight="1">
      <c r="A114" s="74"/>
      <c r="B114" s="75"/>
      <c r="D114" s="80"/>
    </row>
    <row r="115" ht="15.75" customHeight="1">
      <c r="A115" s="74"/>
      <c r="B115" s="75"/>
      <c r="D115" s="80"/>
    </row>
    <row r="116" ht="15.75" customHeight="1">
      <c r="A116" s="74"/>
      <c r="B116" s="75"/>
      <c r="D116" s="80"/>
    </row>
    <row r="117" ht="15.75" customHeight="1">
      <c r="A117" s="74"/>
      <c r="B117" s="75"/>
      <c r="D117" s="80"/>
    </row>
    <row r="118" ht="15.75" customHeight="1">
      <c r="A118" s="74"/>
      <c r="B118" s="75"/>
      <c r="D118" s="80"/>
    </row>
    <row r="119" ht="15.75" customHeight="1">
      <c r="A119" s="74"/>
      <c r="B119" s="75"/>
      <c r="D119" s="80"/>
    </row>
    <row r="120" ht="15.75" customHeight="1">
      <c r="A120" s="74"/>
      <c r="B120" s="75"/>
      <c r="D120" s="80"/>
    </row>
    <row r="121" ht="15.75" customHeight="1">
      <c r="A121" s="74"/>
      <c r="B121" s="75"/>
      <c r="D121" s="80"/>
    </row>
    <row r="122" ht="15.75" customHeight="1">
      <c r="A122" s="74"/>
      <c r="B122" s="75"/>
      <c r="D122" s="80"/>
    </row>
    <row r="123" ht="15.75" customHeight="1">
      <c r="A123" s="74"/>
      <c r="B123" s="75"/>
      <c r="D123" s="80"/>
    </row>
    <row r="124" ht="15.75" customHeight="1">
      <c r="A124" s="74"/>
      <c r="B124" s="75"/>
      <c r="D124" s="80"/>
    </row>
    <row r="125" ht="15.75" customHeight="1">
      <c r="A125" s="74"/>
      <c r="B125" s="75"/>
      <c r="D125" s="80"/>
    </row>
    <row r="126" ht="15.75" customHeight="1">
      <c r="A126" s="74"/>
      <c r="B126" s="75"/>
      <c r="D126" s="80"/>
    </row>
    <row r="127" ht="15.75" customHeight="1">
      <c r="A127" s="74"/>
      <c r="B127" s="75"/>
      <c r="D127" s="80"/>
    </row>
    <row r="128" ht="15.75" customHeight="1">
      <c r="A128" s="74"/>
      <c r="B128" s="75"/>
      <c r="D128" s="80"/>
    </row>
    <row r="129" ht="15.75" customHeight="1">
      <c r="A129" s="74"/>
      <c r="B129" s="75"/>
      <c r="D129" s="80"/>
    </row>
    <row r="130" ht="15.75" customHeight="1">
      <c r="A130" s="74"/>
      <c r="B130" s="75"/>
      <c r="D130" s="80"/>
    </row>
    <row r="131" ht="15.75" customHeight="1">
      <c r="A131" s="74"/>
      <c r="B131" s="75"/>
      <c r="D131" s="80"/>
    </row>
    <row r="132" ht="15.75" customHeight="1">
      <c r="A132" s="74"/>
      <c r="B132" s="75"/>
      <c r="D132" s="80"/>
    </row>
    <row r="133" ht="15.75" customHeight="1">
      <c r="A133" s="74"/>
      <c r="B133" s="75"/>
      <c r="D133" s="80"/>
    </row>
    <row r="134" ht="15.75" customHeight="1">
      <c r="A134" s="74"/>
      <c r="B134" s="75"/>
      <c r="D134" s="80"/>
    </row>
    <row r="135" ht="15.75" customHeight="1">
      <c r="A135" s="74"/>
      <c r="B135" s="75"/>
      <c r="D135" s="80"/>
    </row>
    <row r="136" ht="15.75" customHeight="1">
      <c r="A136" s="74"/>
      <c r="B136" s="75"/>
      <c r="D136" s="80"/>
    </row>
    <row r="137" ht="15.75" customHeight="1">
      <c r="A137" s="74"/>
      <c r="B137" s="75"/>
      <c r="D137" s="80"/>
    </row>
    <row r="138" ht="15.75" customHeight="1">
      <c r="A138" s="74"/>
      <c r="B138" s="75"/>
      <c r="D138" s="80"/>
    </row>
    <row r="139" ht="15.75" customHeight="1">
      <c r="A139" s="74"/>
      <c r="B139" s="75"/>
      <c r="D139" s="80"/>
    </row>
    <row r="140" ht="15.75" customHeight="1">
      <c r="A140" s="74"/>
      <c r="B140" s="75"/>
      <c r="D140" s="80"/>
    </row>
    <row r="141" ht="15.75" customHeight="1">
      <c r="A141" s="74"/>
      <c r="B141" s="75"/>
      <c r="D141" s="80"/>
    </row>
    <row r="142" ht="15.75" customHeight="1">
      <c r="A142" s="74"/>
      <c r="B142" s="75"/>
      <c r="D142" s="80"/>
    </row>
    <row r="143" ht="15.75" customHeight="1">
      <c r="A143" s="74"/>
      <c r="B143" s="75"/>
      <c r="D143" s="80"/>
    </row>
    <row r="144" ht="15.75" customHeight="1">
      <c r="A144" s="74"/>
      <c r="B144" s="75"/>
      <c r="D144" s="80"/>
    </row>
    <row r="145" ht="15.75" customHeight="1">
      <c r="A145" s="74"/>
      <c r="B145" s="75"/>
      <c r="D145" s="80"/>
    </row>
    <row r="146" ht="15.75" customHeight="1">
      <c r="A146" s="74"/>
      <c r="B146" s="75"/>
      <c r="D146" s="80"/>
    </row>
    <row r="147" ht="15.75" customHeight="1">
      <c r="A147" s="74"/>
      <c r="B147" s="75"/>
      <c r="D147" s="80"/>
    </row>
    <row r="148" ht="15.75" customHeight="1">
      <c r="A148" s="74"/>
      <c r="B148" s="75"/>
      <c r="D148" s="80"/>
    </row>
    <row r="149" ht="15.75" customHeight="1">
      <c r="A149" s="74"/>
      <c r="B149" s="75"/>
      <c r="D149" s="80"/>
    </row>
    <row r="150" ht="15.75" customHeight="1">
      <c r="A150" s="74"/>
      <c r="B150" s="75"/>
      <c r="D150" s="80"/>
    </row>
    <row r="151" ht="15.75" customHeight="1">
      <c r="A151" s="74"/>
      <c r="B151" s="75"/>
      <c r="D151" s="80"/>
    </row>
    <row r="152" ht="15.75" customHeight="1">
      <c r="A152" s="74"/>
      <c r="B152" s="75"/>
      <c r="D152" s="80"/>
    </row>
    <row r="153" ht="15.75" customHeight="1">
      <c r="A153" s="74"/>
      <c r="B153" s="75"/>
      <c r="D153" s="80"/>
    </row>
    <row r="154" ht="15.75" customHeight="1">
      <c r="A154" s="74"/>
      <c r="B154" s="75"/>
      <c r="D154" s="80"/>
    </row>
    <row r="155" ht="15.75" customHeight="1">
      <c r="A155" s="74"/>
      <c r="B155" s="75"/>
      <c r="D155" s="80"/>
    </row>
    <row r="156" ht="15.75" customHeight="1">
      <c r="A156" s="74"/>
      <c r="B156" s="75"/>
      <c r="D156" s="80"/>
    </row>
    <row r="157" ht="15.75" customHeight="1">
      <c r="A157" s="74"/>
      <c r="B157" s="75"/>
      <c r="D157" s="80"/>
    </row>
    <row r="158" ht="15.75" customHeight="1">
      <c r="A158" s="74"/>
      <c r="B158" s="75"/>
      <c r="D158" s="80"/>
    </row>
    <row r="159" ht="15.75" customHeight="1">
      <c r="A159" s="74"/>
      <c r="B159" s="75"/>
      <c r="D159" s="80"/>
    </row>
    <row r="160" ht="15.75" customHeight="1">
      <c r="A160" s="74"/>
      <c r="B160" s="75"/>
      <c r="D160" s="80"/>
    </row>
    <row r="161" ht="15.75" customHeight="1">
      <c r="A161" s="74"/>
      <c r="B161" s="75"/>
      <c r="D161" s="80"/>
    </row>
    <row r="162" ht="15.75" customHeight="1">
      <c r="A162" s="74"/>
      <c r="B162" s="75"/>
      <c r="D162" s="80"/>
    </row>
    <row r="163" ht="15.75" customHeight="1">
      <c r="A163" s="74"/>
      <c r="B163" s="75"/>
      <c r="D163" s="80"/>
    </row>
    <row r="164" ht="15.75" customHeight="1">
      <c r="A164" s="74"/>
      <c r="B164" s="75"/>
      <c r="D164" s="80"/>
    </row>
    <row r="165" ht="15.75" customHeight="1">
      <c r="A165" s="74"/>
      <c r="B165" s="75"/>
      <c r="D165" s="80"/>
    </row>
    <row r="166" ht="15.75" customHeight="1">
      <c r="A166" s="74"/>
      <c r="B166" s="75"/>
      <c r="D166" s="80"/>
    </row>
    <row r="167" ht="15.75" customHeight="1">
      <c r="A167" s="74"/>
      <c r="B167" s="75"/>
      <c r="D167" s="80"/>
    </row>
    <row r="168" ht="15.75" customHeight="1">
      <c r="A168" s="74"/>
      <c r="B168" s="75"/>
      <c r="D168" s="80"/>
    </row>
    <row r="169" ht="15.75" customHeight="1">
      <c r="A169" s="74"/>
      <c r="B169" s="75"/>
      <c r="D169" s="80"/>
    </row>
    <row r="170" ht="15.75" customHeight="1">
      <c r="A170" s="74"/>
      <c r="B170" s="75"/>
      <c r="D170" s="80"/>
    </row>
    <row r="171" ht="15.75" customHeight="1">
      <c r="A171" s="74"/>
      <c r="B171" s="75"/>
      <c r="D171" s="80"/>
    </row>
    <row r="172" ht="15.75" customHeight="1">
      <c r="A172" s="74"/>
      <c r="B172" s="75"/>
      <c r="D172" s="80"/>
    </row>
    <row r="173" ht="15.75" customHeight="1">
      <c r="A173" s="74"/>
      <c r="B173" s="75"/>
      <c r="D173" s="80"/>
    </row>
    <row r="174" ht="15.75" customHeight="1">
      <c r="A174" s="74"/>
      <c r="B174" s="75"/>
      <c r="D174" s="80"/>
    </row>
    <row r="175" ht="15.75" customHeight="1">
      <c r="A175" s="74"/>
      <c r="B175" s="75"/>
      <c r="D175" s="80"/>
    </row>
    <row r="176" ht="15.75" customHeight="1">
      <c r="A176" s="74"/>
      <c r="B176" s="75"/>
      <c r="D176" s="80"/>
    </row>
    <row r="177" ht="15.75" customHeight="1">
      <c r="A177" s="74"/>
      <c r="B177" s="75"/>
      <c r="D177" s="80"/>
    </row>
    <row r="178" ht="15.75" customHeight="1">
      <c r="A178" s="74"/>
      <c r="B178" s="75"/>
      <c r="D178" s="80"/>
    </row>
    <row r="179" ht="15.75" customHeight="1">
      <c r="A179" s="74"/>
      <c r="B179" s="75"/>
      <c r="D179" s="80"/>
    </row>
    <row r="180" ht="15.75" customHeight="1">
      <c r="A180" s="74"/>
      <c r="B180" s="75"/>
      <c r="D180" s="80"/>
    </row>
    <row r="181" ht="15.75" customHeight="1">
      <c r="A181" s="74"/>
      <c r="B181" s="75"/>
      <c r="D181" s="80"/>
    </row>
    <row r="182" ht="15.75" customHeight="1">
      <c r="A182" s="74"/>
      <c r="B182" s="75"/>
      <c r="D182" s="80"/>
    </row>
    <row r="183" ht="15.75" customHeight="1">
      <c r="A183" s="74"/>
      <c r="B183" s="75"/>
      <c r="D183" s="80"/>
    </row>
    <row r="184" ht="15.75" customHeight="1">
      <c r="A184" s="74"/>
      <c r="B184" s="75"/>
      <c r="D184" s="80"/>
    </row>
    <row r="185" ht="15.75" customHeight="1">
      <c r="A185" s="74"/>
      <c r="B185" s="75"/>
      <c r="D185" s="80"/>
    </row>
    <row r="186" ht="15.75" customHeight="1">
      <c r="A186" s="74"/>
      <c r="B186" s="75"/>
      <c r="D186" s="80"/>
    </row>
    <row r="187" ht="15.75" customHeight="1">
      <c r="A187" s="74"/>
      <c r="B187" s="75"/>
      <c r="D187" s="80"/>
    </row>
    <row r="188" ht="15.75" customHeight="1">
      <c r="A188" s="74"/>
      <c r="B188" s="75"/>
      <c r="D188" s="80"/>
    </row>
    <row r="189" ht="15.75" customHeight="1">
      <c r="A189" s="74"/>
      <c r="B189" s="75"/>
      <c r="D189" s="80"/>
    </row>
    <row r="190" ht="15.75" customHeight="1">
      <c r="A190" s="74"/>
      <c r="B190" s="75"/>
      <c r="D190" s="80"/>
    </row>
    <row r="191" ht="15.75" customHeight="1">
      <c r="A191" s="74"/>
      <c r="B191" s="75"/>
      <c r="D191" s="80"/>
    </row>
    <row r="192" ht="15.75" customHeight="1">
      <c r="A192" s="74"/>
      <c r="B192" s="75"/>
      <c r="D192" s="80"/>
    </row>
    <row r="193" ht="15.75" customHeight="1">
      <c r="A193" s="74"/>
      <c r="B193" s="75"/>
      <c r="D193" s="80"/>
    </row>
    <row r="194" ht="15.75" customHeight="1">
      <c r="A194" s="74"/>
      <c r="B194" s="75"/>
      <c r="D194" s="80"/>
    </row>
    <row r="195" ht="15.75" customHeight="1">
      <c r="A195" s="74"/>
      <c r="B195" s="75"/>
      <c r="D195" s="80"/>
    </row>
    <row r="196" ht="15.75" customHeight="1">
      <c r="A196" s="74"/>
      <c r="B196" s="75"/>
      <c r="D196" s="80"/>
    </row>
    <row r="197" ht="15.75" customHeight="1">
      <c r="A197" s="74"/>
      <c r="B197" s="75"/>
      <c r="D197" s="80"/>
    </row>
    <row r="198" ht="15.75" customHeight="1">
      <c r="A198" s="74"/>
      <c r="B198" s="75"/>
      <c r="D198" s="80"/>
    </row>
    <row r="199" ht="15.75" customHeight="1">
      <c r="A199" s="74"/>
      <c r="B199" s="75"/>
      <c r="D199" s="80"/>
    </row>
    <row r="200" ht="15.75" customHeight="1">
      <c r="A200" s="74"/>
      <c r="B200" s="75"/>
      <c r="D200" s="80"/>
    </row>
    <row r="201" ht="15.75" customHeight="1">
      <c r="A201" s="74"/>
      <c r="B201" s="75"/>
      <c r="D201" s="80"/>
    </row>
    <row r="202" ht="15.75" customHeight="1">
      <c r="A202" s="74"/>
      <c r="B202" s="75"/>
      <c r="D202" s="80"/>
    </row>
    <row r="203" ht="15.75" customHeight="1">
      <c r="A203" s="74"/>
      <c r="B203" s="75"/>
      <c r="D203" s="80"/>
    </row>
    <row r="204" ht="15.75" customHeight="1">
      <c r="A204" s="74"/>
      <c r="B204" s="75"/>
      <c r="D204" s="80"/>
    </row>
    <row r="205" ht="15.75" customHeight="1">
      <c r="A205" s="74"/>
      <c r="B205" s="75"/>
      <c r="D205" s="80"/>
    </row>
    <row r="206" ht="15.75" customHeight="1">
      <c r="A206" s="74"/>
      <c r="B206" s="75"/>
      <c r="D206" s="80"/>
    </row>
    <row r="207" ht="15.75" customHeight="1">
      <c r="A207" s="74"/>
      <c r="B207" s="75"/>
      <c r="D207" s="80"/>
    </row>
    <row r="208" ht="15.75" customHeight="1">
      <c r="A208" s="74"/>
      <c r="B208" s="75"/>
      <c r="D208" s="80"/>
    </row>
    <row r="209" ht="15.75" customHeight="1">
      <c r="A209" s="74"/>
      <c r="B209" s="75"/>
      <c r="D209" s="80"/>
    </row>
    <row r="210" ht="15.75" customHeight="1">
      <c r="A210" s="74"/>
      <c r="B210" s="75"/>
      <c r="D210" s="80"/>
    </row>
    <row r="211" ht="15.75" customHeight="1">
      <c r="A211" s="74"/>
      <c r="B211" s="75"/>
      <c r="D211" s="80"/>
    </row>
    <row r="212" ht="15.75" customHeight="1">
      <c r="A212" s="74"/>
      <c r="B212" s="75"/>
      <c r="D212" s="80"/>
    </row>
    <row r="213" ht="15.75" customHeight="1">
      <c r="A213" s="74"/>
      <c r="B213" s="75"/>
      <c r="D213" s="80"/>
    </row>
    <row r="214" ht="15.75" customHeight="1">
      <c r="A214" s="74"/>
      <c r="B214" s="75"/>
      <c r="D214" s="80"/>
    </row>
    <row r="215" ht="15.75" customHeight="1">
      <c r="A215" s="74"/>
      <c r="B215" s="75"/>
      <c r="D215" s="80"/>
    </row>
    <row r="216" ht="15.75" customHeight="1">
      <c r="A216" s="74"/>
      <c r="B216" s="75"/>
      <c r="D216" s="80"/>
    </row>
    <row r="217" ht="15.75" customHeight="1">
      <c r="A217" s="74"/>
      <c r="B217" s="75"/>
      <c r="D217" s="80"/>
    </row>
    <row r="218" ht="15.75" customHeight="1">
      <c r="A218" s="74"/>
      <c r="B218" s="75"/>
      <c r="D218" s="80"/>
    </row>
    <row r="219" ht="15.75" customHeight="1">
      <c r="A219" s="74"/>
      <c r="B219" s="75"/>
      <c r="D219" s="80"/>
    </row>
    <row r="220" ht="15.75" customHeight="1">
      <c r="A220" s="74"/>
      <c r="B220" s="75"/>
      <c r="D220" s="80"/>
    </row>
    <row r="221" ht="15.75" customHeight="1">
      <c r="A221" s="74"/>
      <c r="B221" s="75"/>
      <c r="D221" s="80"/>
    </row>
    <row r="222" ht="15.75" customHeight="1">
      <c r="A222" s="74"/>
      <c r="B222" s="75"/>
      <c r="D222" s="80"/>
    </row>
    <row r="223" ht="15.75" customHeight="1">
      <c r="A223" s="74"/>
      <c r="B223" s="75"/>
      <c r="D223" s="80"/>
    </row>
    <row r="224" ht="15.75" customHeight="1">
      <c r="A224" s="74"/>
      <c r="B224" s="75"/>
      <c r="D224" s="80"/>
    </row>
    <row r="225" ht="15.75" customHeight="1">
      <c r="A225" s="74"/>
      <c r="B225" s="75"/>
      <c r="D225" s="80"/>
    </row>
    <row r="226" ht="15.75" customHeight="1">
      <c r="A226" s="74"/>
      <c r="B226" s="75"/>
      <c r="D226" s="80"/>
    </row>
    <row r="227" ht="15.75" customHeight="1">
      <c r="A227" s="74"/>
      <c r="B227" s="75"/>
      <c r="D227" s="80"/>
    </row>
    <row r="228" ht="15.75" customHeight="1">
      <c r="A228" s="74"/>
      <c r="B228" s="75"/>
      <c r="D228" s="80"/>
    </row>
    <row r="229" ht="15.75" customHeight="1">
      <c r="A229" s="74"/>
      <c r="B229" s="75"/>
      <c r="D229" s="80"/>
    </row>
    <row r="230" ht="15.75" customHeight="1">
      <c r="A230" s="74"/>
      <c r="B230" s="75"/>
      <c r="D230" s="80"/>
    </row>
    <row r="231" ht="15.75" customHeight="1">
      <c r="A231" s="74"/>
      <c r="B231" s="75"/>
      <c r="D231" s="80"/>
    </row>
    <row r="232" ht="15.75" customHeight="1">
      <c r="A232" s="74"/>
      <c r="B232" s="75"/>
      <c r="D232" s="80"/>
    </row>
    <row r="233" ht="15.75" customHeight="1">
      <c r="A233" s="74"/>
      <c r="B233" s="75"/>
      <c r="D233" s="80"/>
    </row>
    <row r="234" ht="15.75" customHeight="1">
      <c r="A234" s="74"/>
      <c r="B234" s="75"/>
      <c r="D234" s="80"/>
    </row>
    <row r="235" ht="15.75" customHeight="1">
      <c r="A235" s="74"/>
      <c r="B235" s="75"/>
      <c r="D235" s="80"/>
    </row>
    <row r="236" ht="15.75" customHeight="1">
      <c r="A236" s="74"/>
      <c r="B236" s="75"/>
      <c r="D236" s="80"/>
    </row>
    <row r="237" ht="15.75" customHeight="1">
      <c r="A237" s="74"/>
      <c r="B237" s="75"/>
      <c r="D237" s="80"/>
    </row>
    <row r="238" ht="15.75" customHeight="1">
      <c r="A238" s="74"/>
      <c r="B238" s="75"/>
      <c r="D238" s="80"/>
    </row>
    <row r="239" ht="15.75" customHeight="1">
      <c r="A239" s="74"/>
      <c r="B239" s="75"/>
      <c r="D239" s="80"/>
    </row>
    <row r="240" ht="15.75" customHeight="1">
      <c r="A240" s="74"/>
      <c r="B240" s="75"/>
      <c r="D240" s="80"/>
    </row>
    <row r="241" ht="15.75" customHeight="1">
      <c r="A241" s="74"/>
      <c r="B241" s="75"/>
      <c r="D241" s="80"/>
    </row>
    <row r="242" ht="15.75" customHeight="1">
      <c r="A242" s="74"/>
      <c r="B242" s="75"/>
      <c r="D242" s="80"/>
    </row>
    <row r="243" ht="15.75" customHeight="1">
      <c r="A243" s="74"/>
      <c r="B243" s="75"/>
      <c r="D243" s="80"/>
    </row>
    <row r="244" ht="15.75" customHeight="1">
      <c r="A244" s="74"/>
      <c r="B244" s="75"/>
      <c r="D244" s="80"/>
    </row>
    <row r="245" ht="15.75" customHeight="1">
      <c r="A245" s="74"/>
      <c r="B245" s="75"/>
      <c r="D245" s="80"/>
    </row>
    <row r="246" ht="15.75" customHeight="1">
      <c r="A246" s="74"/>
      <c r="B246" s="75"/>
      <c r="D246" s="80"/>
    </row>
    <row r="247" ht="15.75" customHeight="1">
      <c r="A247" s="74"/>
      <c r="B247" s="75"/>
      <c r="D247" s="80"/>
    </row>
    <row r="248" ht="15.75" customHeight="1">
      <c r="A248" s="74"/>
      <c r="B248" s="75"/>
      <c r="D248" s="80"/>
    </row>
    <row r="249" ht="15.75" customHeight="1">
      <c r="A249" s="74"/>
      <c r="B249" s="75"/>
      <c r="D249" s="80"/>
    </row>
    <row r="250" ht="15.75" customHeight="1">
      <c r="A250" s="74"/>
      <c r="B250" s="75"/>
      <c r="D250" s="80"/>
    </row>
    <row r="251" ht="15.75" customHeight="1">
      <c r="A251" s="74"/>
      <c r="B251" s="75"/>
      <c r="D251" s="80"/>
    </row>
    <row r="252" ht="15.75" customHeight="1">
      <c r="A252" s="74"/>
      <c r="B252" s="75"/>
      <c r="D252" s="80"/>
    </row>
    <row r="253" ht="15.75" customHeight="1">
      <c r="A253" s="74"/>
      <c r="B253" s="75"/>
      <c r="D253" s="80"/>
    </row>
    <row r="254" ht="15.75" customHeight="1">
      <c r="A254" s="74"/>
      <c r="B254" s="75"/>
      <c r="D254" s="80"/>
    </row>
    <row r="255" ht="15.75" customHeight="1">
      <c r="A255" s="74"/>
      <c r="B255" s="75"/>
      <c r="D255" s="80"/>
    </row>
    <row r="256" ht="15.75" customHeight="1">
      <c r="A256" s="74"/>
      <c r="B256" s="75"/>
      <c r="D256" s="80"/>
    </row>
    <row r="257" ht="15.75" customHeight="1">
      <c r="A257" s="74"/>
      <c r="B257" s="75"/>
      <c r="D257" s="80"/>
    </row>
    <row r="258" ht="15.75" customHeight="1">
      <c r="A258" s="74"/>
      <c r="B258" s="75"/>
      <c r="D258" s="80"/>
    </row>
    <row r="259" ht="15.75" customHeight="1">
      <c r="A259" s="74"/>
      <c r="B259" s="75"/>
      <c r="D259" s="80"/>
    </row>
    <row r="260" ht="15.75" customHeight="1">
      <c r="A260" s="74"/>
      <c r="B260" s="75"/>
      <c r="D260" s="80"/>
    </row>
    <row r="261" ht="15.75" customHeight="1">
      <c r="A261" s="74"/>
      <c r="B261" s="75"/>
      <c r="D261" s="80"/>
    </row>
    <row r="262" ht="15.75" customHeight="1">
      <c r="A262" s="74"/>
      <c r="B262" s="75"/>
      <c r="D262" s="80"/>
    </row>
    <row r="263" ht="15.75" customHeight="1">
      <c r="A263" s="74"/>
      <c r="B263" s="75"/>
      <c r="D263" s="80"/>
    </row>
    <row r="264" ht="15.75" customHeight="1">
      <c r="A264" s="74"/>
      <c r="B264" s="75"/>
      <c r="D264" s="80"/>
    </row>
    <row r="265" ht="15.75" customHeight="1">
      <c r="A265" s="74"/>
      <c r="B265" s="75"/>
      <c r="D265" s="80"/>
    </row>
    <row r="266" ht="15.75" customHeight="1">
      <c r="A266" s="74"/>
      <c r="B266" s="75"/>
      <c r="D266" s="80"/>
    </row>
    <row r="267" ht="15.75" customHeight="1">
      <c r="A267" s="74"/>
      <c r="B267" s="75"/>
      <c r="D267" s="80"/>
    </row>
    <row r="268" ht="15.75" customHeight="1">
      <c r="A268" s="74"/>
      <c r="B268" s="75"/>
      <c r="D268" s="80"/>
    </row>
    <row r="269" ht="15.75" customHeight="1">
      <c r="A269" s="74"/>
      <c r="B269" s="75"/>
      <c r="D269" s="80"/>
    </row>
    <row r="270" ht="15.75" customHeight="1">
      <c r="A270" s="74"/>
      <c r="B270" s="75"/>
      <c r="D270" s="80"/>
    </row>
    <row r="271" ht="15.75" customHeight="1">
      <c r="A271" s="74"/>
      <c r="B271" s="75"/>
      <c r="D271" s="80"/>
    </row>
    <row r="272" ht="15.75" customHeight="1">
      <c r="A272" s="74"/>
      <c r="B272" s="75"/>
      <c r="D272" s="80"/>
    </row>
    <row r="273" ht="15.75" customHeight="1">
      <c r="A273" s="74"/>
      <c r="B273" s="75"/>
      <c r="D273" s="80"/>
    </row>
    <row r="274" ht="15.75" customHeight="1">
      <c r="A274" s="74"/>
      <c r="B274" s="75"/>
      <c r="D274" s="80"/>
    </row>
    <row r="275" ht="15.75" customHeight="1">
      <c r="A275" s="74"/>
      <c r="B275" s="75"/>
      <c r="D275" s="80"/>
    </row>
    <row r="276" ht="15.75" customHeight="1">
      <c r="A276" s="74"/>
      <c r="B276" s="75"/>
      <c r="D276" s="80"/>
    </row>
    <row r="277" ht="15.75" customHeight="1">
      <c r="A277" s="74"/>
      <c r="B277" s="75"/>
      <c r="D277" s="80"/>
    </row>
    <row r="278" ht="15.75" customHeight="1">
      <c r="A278" s="74"/>
      <c r="B278" s="75"/>
      <c r="D278" s="80"/>
    </row>
    <row r="279" ht="15.75" customHeight="1">
      <c r="A279" s="74"/>
      <c r="B279" s="75"/>
      <c r="D279" s="80"/>
    </row>
    <row r="280" ht="15.75" customHeight="1">
      <c r="A280" s="74"/>
      <c r="B280" s="75"/>
      <c r="D280" s="80"/>
    </row>
    <row r="281" ht="15.75" customHeight="1">
      <c r="A281" s="74"/>
      <c r="B281" s="75"/>
      <c r="D281" s="80"/>
    </row>
    <row r="282" ht="15.75" customHeight="1">
      <c r="A282" s="74"/>
      <c r="B282" s="75"/>
      <c r="D282" s="80"/>
    </row>
    <row r="283" ht="15.75" customHeight="1">
      <c r="A283" s="74"/>
      <c r="B283" s="75"/>
      <c r="D283" s="80"/>
    </row>
    <row r="284" ht="15.75" customHeight="1">
      <c r="A284" s="74"/>
      <c r="B284" s="75"/>
      <c r="D284" s="80"/>
    </row>
    <row r="285" ht="15.75" customHeight="1">
      <c r="A285" s="74"/>
      <c r="B285" s="75"/>
      <c r="D285" s="80"/>
    </row>
    <row r="286" ht="15.75" customHeight="1">
      <c r="A286" s="74"/>
      <c r="B286" s="75"/>
      <c r="D286" s="80"/>
    </row>
    <row r="287" ht="15.75" customHeight="1">
      <c r="A287" s="74"/>
      <c r="B287" s="75"/>
      <c r="D287" s="80"/>
    </row>
    <row r="288" ht="15.75" customHeight="1">
      <c r="A288" s="74"/>
      <c r="B288" s="75"/>
      <c r="D288" s="80"/>
    </row>
    <row r="289" ht="15.75" customHeight="1">
      <c r="A289" s="74"/>
      <c r="B289" s="75"/>
      <c r="D289" s="80"/>
    </row>
    <row r="290" ht="15.75" customHeight="1">
      <c r="A290" s="74"/>
      <c r="B290" s="75"/>
      <c r="D290" s="80"/>
    </row>
    <row r="291" ht="15.75" customHeight="1">
      <c r="A291" s="74"/>
      <c r="B291" s="75"/>
      <c r="D291" s="80"/>
    </row>
    <row r="292" ht="15.75" customHeight="1">
      <c r="A292" s="74"/>
      <c r="B292" s="75"/>
      <c r="D292" s="80"/>
    </row>
    <row r="293" ht="15.75" customHeight="1">
      <c r="A293" s="74"/>
      <c r="B293" s="75"/>
      <c r="D293" s="80"/>
    </row>
    <row r="294" ht="15.75" customHeight="1">
      <c r="A294" s="74"/>
      <c r="B294" s="75"/>
      <c r="D294" s="80"/>
    </row>
    <row r="295" ht="15.75" customHeight="1">
      <c r="A295" s="74"/>
      <c r="B295" s="75"/>
      <c r="D295" s="80"/>
    </row>
    <row r="296" ht="15.75" customHeight="1">
      <c r="A296" s="74"/>
      <c r="B296" s="75"/>
      <c r="D296" s="80"/>
    </row>
    <row r="297" ht="15.75" customHeight="1">
      <c r="A297" s="74"/>
      <c r="B297" s="75"/>
      <c r="D297" s="80"/>
    </row>
    <row r="298" ht="15.75" customHeight="1">
      <c r="A298" s="74"/>
      <c r="B298" s="75"/>
      <c r="D298" s="80"/>
    </row>
    <row r="299" ht="15.75" customHeight="1">
      <c r="A299" s="74"/>
      <c r="B299" s="75"/>
      <c r="D299" s="80"/>
    </row>
    <row r="300" ht="15.75" customHeight="1">
      <c r="A300" s="74"/>
      <c r="B300" s="75"/>
      <c r="D300" s="80"/>
    </row>
    <row r="301" ht="15.75" customHeight="1">
      <c r="A301" s="74"/>
      <c r="B301" s="75"/>
      <c r="D301" s="80"/>
    </row>
    <row r="302" ht="15.75" customHeight="1">
      <c r="A302" s="74"/>
      <c r="B302" s="75"/>
      <c r="D302" s="80"/>
    </row>
    <row r="303" ht="15.75" customHeight="1">
      <c r="D303" s="80"/>
    </row>
    <row r="304" ht="15.75" customHeight="1">
      <c r="D304" s="80"/>
    </row>
    <row r="305" ht="15.75" customHeight="1">
      <c r="D305" s="80"/>
    </row>
    <row r="306" ht="15.75" customHeight="1">
      <c r="D306" s="80"/>
    </row>
    <row r="307" ht="15.75" customHeight="1">
      <c r="D307" s="80"/>
    </row>
    <row r="308" ht="15.75" customHeight="1">
      <c r="D308" s="80"/>
    </row>
    <row r="309" ht="15.75" customHeight="1">
      <c r="D309" s="80"/>
    </row>
    <row r="310" ht="15.75" customHeight="1">
      <c r="D310" s="80"/>
    </row>
    <row r="311" ht="15.75" customHeight="1">
      <c r="D311" s="80"/>
    </row>
    <row r="312" ht="15.75" customHeight="1">
      <c r="D312" s="80"/>
    </row>
    <row r="313" ht="15.75" customHeight="1">
      <c r="D313" s="80"/>
    </row>
    <row r="314" ht="15.75" customHeight="1">
      <c r="D314" s="80"/>
    </row>
    <row r="315" ht="15.75" customHeight="1">
      <c r="D315" s="80"/>
    </row>
    <row r="316" ht="15.75" customHeight="1">
      <c r="D316" s="80"/>
    </row>
    <row r="317" ht="15.75" customHeight="1">
      <c r="D317" s="80"/>
    </row>
    <row r="318" ht="15.75" customHeight="1">
      <c r="D318" s="80"/>
    </row>
    <row r="319" ht="15.75" customHeight="1">
      <c r="D319" s="80"/>
    </row>
    <row r="320" ht="15.75" customHeight="1">
      <c r="D320" s="80"/>
    </row>
    <row r="321" ht="15.75" customHeight="1">
      <c r="D321" s="80"/>
    </row>
    <row r="322" ht="15.75" customHeight="1">
      <c r="D322" s="80"/>
    </row>
    <row r="323" ht="15.75" customHeight="1">
      <c r="D323" s="80"/>
    </row>
    <row r="324" ht="15.75" customHeight="1">
      <c r="D324" s="80"/>
    </row>
    <row r="325" ht="15.75" customHeight="1">
      <c r="D325" s="80"/>
    </row>
    <row r="326" ht="15.75" customHeight="1">
      <c r="D326" s="80"/>
    </row>
    <row r="327" ht="15.75" customHeight="1">
      <c r="D327" s="80"/>
    </row>
    <row r="328" ht="15.75" customHeight="1">
      <c r="D328" s="80"/>
    </row>
    <row r="329" ht="15.75" customHeight="1">
      <c r="D329" s="80"/>
    </row>
    <row r="330" ht="15.75" customHeight="1">
      <c r="D330" s="80"/>
    </row>
    <row r="331" ht="15.75" customHeight="1">
      <c r="D331" s="80"/>
    </row>
    <row r="332" ht="15.75" customHeight="1">
      <c r="D332" s="80"/>
    </row>
    <row r="333" ht="15.75" customHeight="1">
      <c r="D333" s="80"/>
    </row>
    <row r="334" ht="15.75" customHeight="1">
      <c r="D334" s="80"/>
    </row>
    <row r="335" ht="15.75" customHeight="1">
      <c r="D335" s="80"/>
    </row>
    <row r="336" ht="15.75" customHeight="1">
      <c r="D336" s="80"/>
    </row>
    <row r="337" ht="15.75" customHeight="1">
      <c r="D337" s="80"/>
    </row>
    <row r="338" ht="15.75" customHeight="1">
      <c r="D338" s="80"/>
    </row>
    <row r="339" ht="15.75" customHeight="1">
      <c r="D339" s="80"/>
    </row>
    <row r="340" ht="15.75" customHeight="1">
      <c r="D340" s="80"/>
    </row>
    <row r="341" ht="15.75" customHeight="1">
      <c r="D341" s="80"/>
    </row>
    <row r="342" ht="15.75" customHeight="1">
      <c r="D342" s="80"/>
    </row>
    <row r="343" ht="15.75" customHeight="1">
      <c r="D343" s="80"/>
    </row>
    <row r="344" ht="15.75" customHeight="1">
      <c r="D344" s="80"/>
    </row>
    <row r="345" ht="15.75" customHeight="1">
      <c r="D345" s="80"/>
    </row>
    <row r="346" ht="15.75" customHeight="1">
      <c r="D346" s="80"/>
    </row>
    <row r="347" ht="15.75" customHeight="1">
      <c r="D347" s="80"/>
    </row>
    <row r="348" ht="15.75" customHeight="1">
      <c r="D348" s="80"/>
    </row>
    <row r="349" ht="15.75" customHeight="1">
      <c r="D349" s="80"/>
    </row>
    <row r="350" ht="15.75" customHeight="1">
      <c r="D350" s="80"/>
    </row>
    <row r="351" ht="15.75" customHeight="1">
      <c r="D351" s="80"/>
    </row>
    <row r="352" ht="15.75" customHeight="1">
      <c r="D352" s="80"/>
    </row>
    <row r="353" ht="15.75" customHeight="1">
      <c r="D353" s="80"/>
    </row>
    <row r="354" ht="15.75" customHeight="1">
      <c r="D354" s="80"/>
    </row>
    <row r="355" ht="15.75" customHeight="1">
      <c r="D355" s="80"/>
    </row>
    <row r="356" ht="15.75" customHeight="1">
      <c r="D356" s="80"/>
    </row>
    <row r="357" ht="15.75" customHeight="1">
      <c r="D357" s="80"/>
    </row>
    <row r="358" ht="15.75" customHeight="1">
      <c r="D358" s="80"/>
    </row>
    <row r="359" ht="15.75" customHeight="1">
      <c r="D359" s="80"/>
    </row>
    <row r="360" ht="15.75" customHeight="1">
      <c r="D360" s="80"/>
    </row>
    <row r="361" ht="15.75" customHeight="1">
      <c r="D361" s="80"/>
    </row>
    <row r="362" ht="15.75" customHeight="1">
      <c r="D362" s="80"/>
    </row>
    <row r="363" ht="15.75" customHeight="1">
      <c r="D363" s="80"/>
    </row>
    <row r="364" ht="15.75" customHeight="1">
      <c r="D364" s="80"/>
    </row>
    <row r="365" ht="15.75" customHeight="1">
      <c r="D365" s="80"/>
    </row>
    <row r="366" ht="15.75" customHeight="1">
      <c r="D366" s="80"/>
    </row>
    <row r="367" ht="15.75" customHeight="1">
      <c r="D367" s="80"/>
    </row>
    <row r="368" ht="15.75" customHeight="1">
      <c r="D368" s="80"/>
    </row>
    <row r="369" ht="15.75" customHeight="1">
      <c r="D369" s="80"/>
    </row>
    <row r="370" ht="15.75" customHeight="1">
      <c r="D370" s="80"/>
    </row>
    <row r="371" ht="15.75" customHeight="1">
      <c r="D371" s="80"/>
    </row>
    <row r="372" ht="15.75" customHeight="1">
      <c r="D372" s="80"/>
    </row>
    <row r="373" ht="15.75" customHeight="1">
      <c r="D373" s="80"/>
    </row>
    <row r="374" ht="15.75" customHeight="1">
      <c r="D374" s="80"/>
    </row>
    <row r="375" ht="15.75" customHeight="1">
      <c r="D375" s="80"/>
    </row>
    <row r="376" ht="15.75" customHeight="1">
      <c r="D376" s="80"/>
    </row>
    <row r="377" ht="15.75" customHeight="1">
      <c r="D377" s="80"/>
    </row>
    <row r="378" ht="15.75" customHeight="1">
      <c r="D378" s="80"/>
    </row>
    <row r="379" ht="15.75" customHeight="1">
      <c r="D379" s="80"/>
    </row>
    <row r="380" ht="15.75" customHeight="1">
      <c r="D380" s="80"/>
    </row>
    <row r="381" ht="15.75" customHeight="1">
      <c r="D381" s="80"/>
    </row>
    <row r="382" ht="15.75" customHeight="1">
      <c r="D382" s="80"/>
    </row>
    <row r="383" ht="15.75" customHeight="1">
      <c r="D383" s="80"/>
    </row>
    <row r="384" ht="15.75" customHeight="1">
      <c r="D384" s="80"/>
    </row>
    <row r="385" ht="15.75" customHeight="1">
      <c r="D385" s="80"/>
    </row>
    <row r="386" ht="15.75" customHeight="1">
      <c r="D386" s="80"/>
    </row>
    <row r="387" ht="15.75" customHeight="1">
      <c r="D387" s="80"/>
    </row>
    <row r="388" ht="15.75" customHeight="1">
      <c r="D388" s="80"/>
    </row>
    <row r="389" ht="15.75" customHeight="1">
      <c r="D389" s="80"/>
    </row>
    <row r="390" ht="15.75" customHeight="1">
      <c r="D390" s="80"/>
    </row>
    <row r="391" ht="15.75" customHeight="1">
      <c r="D391" s="80"/>
    </row>
    <row r="392" ht="15.75" customHeight="1">
      <c r="D392" s="80"/>
    </row>
    <row r="393" ht="15.75" customHeight="1">
      <c r="D393" s="80"/>
    </row>
    <row r="394" ht="15.75" customHeight="1">
      <c r="D394" s="80"/>
    </row>
    <row r="395" ht="15.75" customHeight="1">
      <c r="D395" s="80"/>
    </row>
    <row r="396" ht="15.75" customHeight="1">
      <c r="D396" s="80"/>
    </row>
    <row r="397" ht="15.75" customHeight="1">
      <c r="D397" s="80"/>
    </row>
    <row r="398" ht="15.75" customHeight="1">
      <c r="D398" s="80"/>
    </row>
    <row r="399" ht="15.75" customHeight="1">
      <c r="D399" s="80"/>
    </row>
    <row r="400" ht="15.75" customHeight="1">
      <c r="D400" s="80"/>
    </row>
    <row r="401" ht="15.75" customHeight="1">
      <c r="D401" s="80"/>
    </row>
    <row r="402" ht="15.75" customHeight="1">
      <c r="D402" s="80"/>
    </row>
    <row r="403" ht="15.75" customHeight="1">
      <c r="D403" s="80"/>
    </row>
    <row r="404" ht="15.75" customHeight="1">
      <c r="D404" s="80"/>
    </row>
    <row r="405" ht="15.75" customHeight="1">
      <c r="D405" s="80"/>
    </row>
    <row r="406" ht="15.75" customHeight="1">
      <c r="D406" s="80"/>
    </row>
    <row r="407" ht="15.75" customHeight="1">
      <c r="D407" s="80"/>
    </row>
    <row r="408" ht="15.75" customHeight="1">
      <c r="D408" s="80"/>
    </row>
    <row r="409" ht="15.75" customHeight="1">
      <c r="D409" s="80"/>
    </row>
    <row r="410" ht="15.75" customHeight="1">
      <c r="D410" s="80"/>
    </row>
    <row r="411" ht="15.75" customHeight="1">
      <c r="D411" s="80"/>
    </row>
    <row r="412" ht="15.75" customHeight="1">
      <c r="D412" s="80"/>
    </row>
    <row r="413" ht="15.75" customHeight="1">
      <c r="D413" s="80"/>
    </row>
    <row r="414" ht="15.75" customHeight="1">
      <c r="D414" s="80"/>
    </row>
    <row r="415" ht="15.75" customHeight="1">
      <c r="D415" s="80"/>
    </row>
    <row r="416" ht="15.75" customHeight="1">
      <c r="D416" s="80"/>
    </row>
    <row r="417" ht="15.75" customHeight="1">
      <c r="D417" s="80"/>
    </row>
    <row r="418" ht="15.75" customHeight="1">
      <c r="D418" s="80"/>
    </row>
    <row r="419" ht="15.75" customHeight="1">
      <c r="D419" s="80"/>
    </row>
    <row r="420" ht="15.75" customHeight="1">
      <c r="D420" s="80"/>
    </row>
    <row r="421" ht="15.75" customHeight="1">
      <c r="D421" s="80"/>
    </row>
    <row r="422" ht="15.75" customHeight="1">
      <c r="D422" s="80"/>
    </row>
    <row r="423" ht="15.75" customHeight="1">
      <c r="D423" s="80"/>
    </row>
    <row r="424" ht="15.75" customHeight="1">
      <c r="D424" s="80"/>
    </row>
    <row r="425" ht="15.75" customHeight="1">
      <c r="D425" s="80"/>
    </row>
    <row r="426" ht="15.75" customHeight="1">
      <c r="D426" s="80"/>
    </row>
    <row r="427" ht="15.75" customHeight="1">
      <c r="D427" s="80"/>
    </row>
    <row r="428" ht="15.75" customHeight="1">
      <c r="D428" s="80"/>
    </row>
    <row r="429" ht="15.75" customHeight="1">
      <c r="D429" s="80"/>
    </row>
    <row r="430" ht="15.75" customHeight="1">
      <c r="D430" s="80"/>
    </row>
    <row r="431" ht="15.75" customHeight="1">
      <c r="D431" s="80"/>
    </row>
    <row r="432" ht="15.75" customHeight="1">
      <c r="D432" s="80"/>
    </row>
    <row r="433" ht="15.75" customHeight="1">
      <c r="D433" s="80"/>
    </row>
    <row r="434" ht="15.75" customHeight="1">
      <c r="D434" s="80"/>
    </row>
    <row r="435" ht="15.75" customHeight="1">
      <c r="D435" s="80"/>
    </row>
    <row r="436" ht="15.75" customHeight="1">
      <c r="D436" s="80"/>
    </row>
    <row r="437" ht="15.75" customHeight="1">
      <c r="D437" s="80"/>
    </row>
    <row r="438" ht="15.75" customHeight="1">
      <c r="D438" s="80"/>
    </row>
    <row r="439" ht="15.75" customHeight="1">
      <c r="D439" s="80"/>
    </row>
    <row r="440" ht="15.75" customHeight="1">
      <c r="D440" s="80"/>
    </row>
    <row r="441" ht="15.75" customHeight="1">
      <c r="D441" s="80"/>
    </row>
    <row r="442" ht="15.75" customHeight="1">
      <c r="D442" s="80"/>
    </row>
    <row r="443" ht="15.75" customHeight="1">
      <c r="D443" s="80"/>
    </row>
    <row r="444" ht="15.75" customHeight="1">
      <c r="D444" s="80"/>
    </row>
    <row r="445" ht="15.75" customHeight="1">
      <c r="D445" s="80"/>
    </row>
    <row r="446" ht="15.75" customHeight="1">
      <c r="D446" s="80"/>
    </row>
    <row r="447" ht="15.75" customHeight="1">
      <c r="D447" s="80"/>
    </row>
    <row r="448" ht="15.75" customHeight="1">
      <c r="D448" s="80"/>
    </row>
    <row r="449" ht="15.75" customHeight="1">
      <c r="D449" s="80"/>
    </row>
    <row r="450" ht="15.75" customHeight="1">
      <c r="D450" s="80"/>
    </row>
    <row r="451" ht="15.75" customHeight="1">
      <c r="D451" s="80"/>
    </row>
    <row r="452" ht="15.75" customHeight="1">
      <c r="D452" s="80"/>
    </row>
    <row r="453" ht="15.75" customHeight="1">
      <c r="D453" s="80"/>
    </row>
    <row r="454" ht="15.75" customHeight="1">
      <c r="D454" s="80"/>
    </row>
    <row r="455" ht="15.75" customHeight="1">
      <c r="D455" s="80"/>
    </row>
    <row r="456" ht="15.75" customHeight="1">
      <c r="D456" s="80"/>
    </row>
    <row r="457" ht="15.75" customHeight="1">
      <c r="D457" s="80"/>
    </row>
    <row r="458" ht="15.75" customHeight="1">
      <c r="D458" s="80"/>
    </row>
    <row r="459" ht="15.75" customHeight="1">
      <c r="D459" s="80"/>
    </row>
    <row r="460" ht="15.75" customHeight="1">
      <c r="D460" s="80"/>
    </row>
    <row r="461" ht="15.75" customHeight="1">
      <c r="D461" s="80"/>
    </row>
    <row r="462" ht="15.75" customHeight="1">
      <c r="D462" s="80"/>
    </row>
    <row r="463" ht="15.75" customHeight="1">
      <c r="D463" s="80"/>
    </row>
    <row r="464" ht="15.75" customHeight="1">
      <c r="D464" s="80"/>
    </row>
    <row r="465" ht="15.75" customHeight="1">
      <c r="D465" s="80"/>
    </row>
    <row r="466" ht="15.75" customHeight="1">
      <c r="D466" s="80"/>
    </row>
    <row r="467" ht="15.75" customHeight="1">
      <c r="D467" s="80"/>
    </row>
    <row r="468" ht="15.75" customHeight="1">
      <c r="D468" s="80"/>
    </row>
    <row r="469" ht="15.75" customHeight="1">
      <c r="D469" s="80"/>
    </row>
    <row r="470" ht="15.75" customHeight="1">
      <c r="D470" s="80"/>
    </row>
    <row r="471" ht="15.75" customHeight="1">
      <c r="D471" s="80"/>
    </row>
    <row r="472" ht="15.75" customHeight="1">
      <c r="D472" s="80"/>
    </row>
    <row r="473" ht="15.75" customHeight="1">
      <c r="D473" s="80"/>
    </row>
    <row r="474" ht="15.75" customHeight="1">
      <c r="D474" s="80"/>
    </row>
    <row r="475" ht="15.75" customHeight="1">
      <c r="D475" s="80"/>
    </row>
    <row r="476" ht="15.75" customHeight="1">
      <c r="D476" s="80"/>
    </row>
    <row r="477" ht="15.75" customHeight="1">
      <c r="D477" s="80"/>
    </row>
    <row r="478" ht="15.75" customHeight="1">
      <c r="D478" s="80"/>
    </row>
    <row r="479" ht="15.75" customHeight="1">
      <c r="D479" s="80"/>
    </row>
    <row r="480" ht="15.75" customHeight="1">
      <c r="D480" s="80"/>
    </row>
    <row r="481" ht="15.75" customHeight="1">
      <c r="D481" s="80"/>
    </row>
    <row r="482" ht="15.75" customHeight="1">
      <c r="D482" s="80"/>
    </row>
    <row r="483" ht="15.75" customHeight="1">
      <c r="D483" s="80"/>
    </row>
    <row r="484" ht="15.75" customHeight="1">
      <c r="D484" s="80"/>
    </row>
    <row r="485" ht="15.75" customHeight="1">
      <c r="D485" s="80"/>
    </row>
    <row r="486" ht="15.75" customHeight="1">
      <c r="D486" s="80"/>
    </row>
    <row r="487" ht="15.75" customHeight="1">
      <c r="D487" s="80"/>
    </row>
    <row r="488" ht="15.75" customHeight="1">
      <c r="D488" s="80"/>
    </row>
    <row r="489" ht="15.75" customHeight="1">
      <c r="D489" s="80"/>
    </row>
    <row r="490" ht="15.75" customHeight="1">
      <c r="D490" s="80"/>
    </row>
    <row r="491" ht="15.75" customHeight="1">
      <c r="D491" s="80"/>
    </row>
    <row r="492" ht="15.75" customHeight="1">
      <c r="D492" s="80"/>
    </row>
    <row r="493" ht="15.75" customHeight="1">
      <c r="D493" s="80"/>
    </row>
    <row r="494" ht="15.75" customHeight="1">
      <c r="D494" s="80"/>
    </row>
    <row r="495" ht="15.75" customHeight="1">
      <c r="D495" s="80"/>
    </row>
    <row r="496" ht="15.75" customHeight="1">
      <c r="D496" s="80"/>
    </row>
    <row r="497" ht="15.75" customHeight="1">
      <c r="D497" s="80"/>
    </row>
    <row r="498" ht="15.75" customHeight="1">
      <c r="D498" s="80"/>
    </row>
    <row r="499" ht="15.75" customHeight="1">
      <c r="D499" s="80"/>
    </row>
    <row r="500" ht="15.75" customHeight="1">
      <c r="D500" s="80"/>
    </row>
    <row r="501" ht="15.75" customHeight="1">
      <c r="D501" s="80"/>
    </row>
    <row r="502" ht="15.75" customHeight="1">
      <c r="D502" s="80"/>
    </row>
    <row r="503" ht="15.75" customHeight="1">
      <c r="D503" s="80"/>
    </row>
    <row r="504" ht="15.75" customHeight="1">
      <c r="D504" s="80"/>
    </row>
    <row r="505" ht="15.75" customHeight="1">
      <c r="D505" s="80"/>
    </row>
    <row r="506" ht="15.75" customHeight="1">
      <c r="D506" s="80"/>
    </row>
    <row r="507" ht="15.75" customHeight="1">
      <c r="D507" s="80"/>
    </row>
    <row r="508" ht="15.75" customHeight="1">
      <c r="D508" s="80"/>
    </row>
    <row r="509" ht="15.75" customHeight="1">
      <c r="D509" s="80"/>
    </row>
    <row r="510" ht="15.75" customHeight="1">
      <c r="D510" s="80"/>
    </row>
    <row r="511" ht="15.75" customHeight="1">
      <c r="D511" s="80"/>
    </row>
    <row r="512" ht="15.75" customHeight="1">
      <c r="D512" s="80"/>
    </row>
    <row r="513" ht="15.75" customHeight="1">
      <c r="D513" s="80"/>
    </row>
    <row r="514" ht="15.75" customHeight="1">
      <c r="D514" s="80"/>
    </row>
    <row r="515" ht="15.75" customHeight="1">
      <c r="D515" s="80"/>
    </row>
    <row r="516" ht="15.75" customHeight="1">
      <c r="D516" s="80"/>
    </row>
    <row r="517" ht="15.75" customHeight="1">
      <c r="D517" s="80"/>
    </row>
    <row r="518" ht="15.75" customHeight="1">
      <c r="D518" s="80"/>
    </row>
    <row r="519" ht="15.75" customHeight="1">
      <c r="D519" s="80"/>
    </row>
    <row r="520" ht="15.75" customHeight="1">
      <c r="D520" s="80"/>
    </row>
    <row r="521" ht="15.75" customHeight="1">
      <c r="D521" s="80"/>
    </row>
    <row r="522" ht="15.75" customHeight="1">
      <c r="D522" s="80"/>
    </row>
    <row r="523" ht="15.75" customHeight="1">
      <c r="D523" s="80"/>
    </row>
    <row r="524" ht="15.75" customHeight="1">
      <c r="D524" s="80"/>
    </row>
    <row r="525" ht="15.75" customHeight="1">
      <c r="D525" s="80"/>
    </row>
    <row r="526" ht="15.75" customHeight="1">
      <c r="D526" s="80"/>
    </row>
    <row r="527" ht="15.75" customHeight="1">
      <c r="D527" s="80"/>
    </row>
    <row r="528" ht="15.75" customHeight="1">
      <c r="D528" s="80"/>
    </row>
    <row r="529" ht="15.75" customHeight="1">
      <c r="D529" s="80"/>
    </row>
    <row r="530" ht="15.75" customHeight="1">
      <c r="D530" s="80"/>
    </row>
    <row r="531" ht="15.75" customHeight="1">
      <c r="D531" s="80"/>
    </row>
    <row r="532" ht="15.75" customHeight="1">
      <c r="D532" s="80"/>
    </row>
    <row r="533" ht="15.75" customHeight="1">
      <c r="D533" s="80"/>
    </row>
    <row r="534" ht="15.75" customHeight="1">
      <c r="D534" s="80"/>
    </row>
    <row r="535" ht="15.75" customHeight="1">
      <c r="D535" s="80"/>
    </row>
    <row r="536" ht="15.75" customHeight="1">
      <c r="D536" s="80"/>
    </row>
    <row r="537" ht="15.75" customHeight="1">
      <c r="D537" s="80"/>
    </row>
    <row r="538" ht="15.75" customHeight="1">
      <c r="D538" s="80"/>
    </row>
    <row r="539" ht="15.75" customHeight="1">
      <c r="D539" s="80"/>
    </row>
    <row r="540" ht="15.75" customHeight="1">
      <c r="D540" s="80"/>
    </row>
    <row r="541" ht="15.75" customHeight="1">
      <c r="D541" s="80"/>
    </row>
    <row r="542" ht="15.75" customHeight="1">
      <c r="D542" s="80"/>
    </row>
    <row r="543" ht="15.75" customHeight="1">
      <c r="D543" s="80"/>
    </row>
    <row r="544" ht="15.75" customHeight="1">
      <c r="D544" s="80"/>
    </row>
    <row r="545" ht="15.75" customHeight="1">
      <c r="D545" s="80"/>
    </row>
    <row r="546" ht="15.75" customHeight="1">
      <c r="D546" s="80"/>
    </row>
    <row r="547" ht="15.75" customHeight="1">
      <c r="D547" s="80"/>
    </row>
    <row r="548" ht="15.75" customHeight="1">
      <c r="D548" s="80"/>
    </row>
    <row r="549" ht="15.75" customHeight="1">
      <c r="D549" s="80"/>
    </row>
    <row r="550" ht="15.75" customHeight="1">
      <c r="D550" s="80"/>
    </row>
    <row r="551" ht="15.75" customHeight="1">
      <c r="D551" s="80"/>
    </row>
    <row r="552" ht="15.75" customHeight="1">
      <c r="D552" s="80"/>
    </row>
    <row r="553" ht="15.75" customHeight="1">
      <c r="D553" s="80"/>
    </row>
    <row r="554" ht="15.75" customHeight="1">
      <c r="D554" s="80"/>
    </row>
    <row r="555" ht="15.75" customHeight="1">
      <c r="D555" s="80"/>
    </row>
    <row r="556" ht="15.75" customHeight="1">
      <c r="D556" s="80"/>
    </row>
    <row r="557" ht="15.75" customHeight="1">
      <c r="D557" s="80"/>
    </row>
    <row r="558" ht="15.75" customHeight="1">
      <c r="D558" s="80"/>
    </row>
    <row r="559" ht="15.75" customHeight="1">
      <c r="D559" s="80"/>
    </row>
    <row r="560" ht="15.75" customHeight="1">
      <c r="D560" s="80"/>
    </row>
    <row r="561" ht="15.75" customHeight="1">
      <c r="D561" s="80"/>
    </row>
    <row r="562" ht="15.75" customHeight="1">
      <c r="D562" s="80"/>
    </row>
    <row r="563" ht="15.75" customHeight="1">
      <c r="D563" s="80"/>
    </row>
    <row r="564" ht="15.75" customHeight="1">
      <c r="D564" s="80"/>
    </row>
    <row r="565" ht="15.75" customHeight="1">
      <c r="D565" s="80"/>
    </row>
    <row r="566" ht="15.75" customHeight="1">
      <c r="D566" s="80"/>
    </row>
    <row r="567" ht="15.75" customHeight="1">
      <c r="D567" s="80"/>
    </row>
    <row r="568" ht="15.75" customHeight="1">
      <c r="D568" s="80"/>
    </row>
    <row r="569" ht="15.75" customHeight="1">
      <c r="D569" s="80"/>
    </row>
    <row r="570" ht="15.75" customHeight="1">
      <c r="D570" s="80"/>
    </row>
    <row r="571" ht="15.75" customHeight="1">
      <c r="D571" s="80"/>
    </row>
    <row r="572" ht="15.75" customHeight="1">
      <c r="D572" s="80"/>
    </row>
    <row r="573" ht="15.75" customHeight="1">
      <c r="D573" s="80"/>
    </row>
    <row r="574" ht="15.75" customHeight="1">
      <c r="D574" s="80"/>
    </row>
    <row r="575" ht="15.75" customHeight="1">
      <c r="D575" s="80"/>
    </row>
    <row r="576" ht="15.75" customHeight="1">
      <c r="D576" s="80"/>
    </row>
    <row r="577" ht="15.75" customHeight="1">
      <c r="D577" s="80"/>
    </row>
    <row r="578" ht="15.75" customHeight="1">
      <c r="D578" s="80"/>
    </row>
    <row r="579" ht="15.75" customHeight="1">
      <c r="D579" s="80"/>
    </row>
    <row r="580" ht="15.75" customHeight="1">
      <c r="D580" s="80"/>
    </row>
    <row r="581" ht="15.75" customHeight="1">
      <c r="D581" s="80"/>
    </row>
    <row r="582" ht="15.75" customHeight="1">
      <c r="D582" s="80"/>
    </row>
    <row r="583" ht="15.75" customHeight="1">
      <c r="D583" s="80"/>
    </row>
    <row r="584" ht="15.75" customHeight="1">
      <c r="D584" s="80"/>
    </row>
    <row r="585" ht="15.75" customHeight="1">
      <c r="D585" s="80"/>
    </row>
    <row r="586" ht="15.75" customHeight="1">
      <c r="D586" s="80"/>
    </row>
    <row r="587" ht="15.75" customHeight="1">
      <c r="D587" s="80"/>
    </row>
    <row r="588" ht="15.75" customHeight="1">
      <c r="D588" s="80"/>
    </row>
    <row r="589" ht="15.75" customHeight="1">
      <c r="D589" s="80"/>
    </row>
    <row r="590" ht="15.75" customHeight="1">
      <c r="D590" s="80"/>
    </row>
    <row r="591" ht="15.75" customHeight="1">
      <c r="D591" s="80"/>
    </row>
    <row r="592" ht="15.75" customHeight="1">
      <c r="D592" s="80"/>
    </row>
    <row r="593" ht="15.75" customHeight="1">
      <c r="D593" s="80"/>
    </row>
    <row r="594" ht="15.75" customHeight="1">
      <c r="D594" s="80"/>
    </row>
    <row r="595" ht="15.75" customHeight="1">
      <c r="D595" s="80"/>
    </row>
    <row r="596" ht="15.75" customHeight="1">
      <c r="D596" s="80"/>
    </row>
    <row r="597" ht="15.75" customHeight="1">
      <c r="D597" s="80"/>
    </row>
    <row r="598" ht="15.75" customHeight="1">
      <c r="D598" s="80"/>
    </row>
    <row r="599" ht="15.75" customHeight="1">
      <c r="D599" s="80"/>
    </row>
    <row r="600" ht="15.75" customHeight="1">
      <c r="D600" s="80"/>
    </row>
    <row r="601" ht="15.75" customHeight="1">
      <c r="D601" s="80"/>
    </row>
    <row r="602" ht="15.75" customHeight="1">
      <c r="D602" s="80"/>
    </row>
    <row r="603" ht="15.75" customHeight="1">
      <c r="D603" s="80"/>
    </row>
    <row r="604" ht="15.75" customHeight="1">
      <c r="D604" s="80"/>
    </row>
    <row r="605" ht="15.75" customHeight="1">
      <c r="D605" s="80"/>
    </row>
    <row r="606" ht="15.75" customHeight="1">
      <c r="D606" s="80"/>
    </row>
    <row r="607" ht="15.75" customHeight="1">
      <c r="D607" s="80"/>
    </row>
    <row r="608" ht="15.75" customHeight="1">
      <c r="D608" s="80"/>
    </row>
    <row r="609" ht="15.75" customHeight="1">
      <c r="D609" s="80"/>
    </row>
    <row r="610" ht="15.75" customHeight="1">
      <c r="D610" s="80"/>
    </row>
    <row r="611" ht="15.75" customHeight="1">
      <c r="D611" s="80"/>
    </row>
    <row r="612" ht="15.75" customHeight="1">
      <c r="D612" s="80"/>
    </row>
    <row r="613" ht="15.75" customHeight="1">
      <c r="D613" s="80"/>
    </row>
    <row r="614" ht="15.75" customHeight="1">
      <c r="D614" s="80"/>
    </row>
    <row r="615" ht="15.75" customHeight="1">
      <c r="D615" s="80"/>
    </row>
    <row r="616" ht="15.75" customHeight="1">
      <c r="D616" s="80"/>
    </row>
    <row r="617" ht="15.75" customHeight="1">
      <c r="D617" s="80"/>
    </row>
    <row r="618" ht="15.75" customHeight="1">
      <c r="D618" s="80"/>
    </row>
    <row r="619" ht="15.75" customHeight="1">
      <c r="D619" s="80"/>
    </row>
    <row r="620" ht="15.75" customHeight="1">
      <c r="D620" s="80"/>
    </row>
    <row r="621" ht="15.75" customHeight="1">
      <c r="D621" s="80"/>
    </row>
    <row r="622" ht="15.75" customHeight="1">
      <c r="D622" s="80"/>
    </row>
    <row r="623" ht="15.75" customHeight="1">
      <c r="D623" s="80"/>
    </row>
    <row r="624" ht="15.75" customHeight="1">
      <c r="D624" s="80"/>
    </row>
    <row r="625" ht="15.75" customHeight="1">
      <c r="D625" s="80"/>
    </row>
    <row r="626" ht="15.75" customHeight="1">
      <c r="D626" s="80"/>
    </row>
    <row r="627" ht="15.75" customHeight="1">
      <c r="D627" s="80"/>
    </row>
    <row r="628" ht="15.75" customHeight="1">
      <c r="D628" s="80"/>
    </row>
    <row r="629" ht="15.75" customHeight="1">
      <c r="D629" s="80"/>
    </row>
    <row r="630" ht="15.75" customHeight="1">
      <c r="D630" s="80"/>
    </row>
    <row r="631" ht="15.75" customHeight="1">
      <c r="D631" s="80"/>
    </row>
    <row r="632" ht="15.75" customHeight="1">
      <c r="D632" s="80"/>
    </row>
    <row r="633" ht="15.75" customHeight="1">
      <c r="D633" s="80"/>
    </row>
    <row r="634" ht="15.75" customHeight="1">
      <c r="D634" s="80"/>
    </row>
    <row r="635" ht="15.75" customHeight="1">
      <c r="D635" s="80"/>
    </row>
    <row r="636" ht="15.75" customHeight="1">
      <c r="D636" s="80"/>
    </row>
    <row r="637" ht="15.75" customHeight="1">
      <c r="D637" s="80"/>
    </row>
    <row r="638" ht="15.75" customHeight="1">
      <c r="D638" s="80"/>
    </row>
    <row r="639" ht="15.75" customHeight="1">
      <c r="D639" s="80"/>
    </row>
    <row r="640" ht="15.75" customHeight="1">
      <c r="D640" s="80"/>
    </row>
    <row r="641" ht="15.75" customHeight="1">
      <c r="D641" s="80"/>
    </row>
    <row r="642" ht="15.75" customHeight="1">
      <c r="D642" s="80"/>
    </row>
    <row r="643" ht="15.75" customHeight="1">
      <c r="D643" s="80"/>
    </row>
    <row r="644" ht="15.75" customHeight="1">
      <c r="D644" s="80"/>
    </row>
    <row r="645" ht="15.75" customHeight="1">
      <c r="D645" s="80"/>
    </row>
    <row r="646" ht="15.75" customHeight="1">
      <c r="D646" s="80"/>
    </row>
    <row r="647" ht="15.75" customHeight="1">
      <c r="D647" s="80"/>
    </row>
    <row r="648" ht="15.75" customHeight="1">
      <c r="D648" s="80"/>
    </row>
    <row r="649" ht="15.75" customHeight="1">
      <c r="D649" s="80"/>
    </row>
    <row r="650" ht="15.75" customHeight="1">
      <c r="D650" s="80"/>
    </row>
    <row r="651" ht="15.75" customHeight="1">
      <c r="D651" s="80"/>
    </row>
    <row r="652" ht="15.75" customHeight="1">
      <c r="D652" s="80"/>
    </row>
    <row r="653" ht="15.75" customHeight="1">
      <c r="D653" s="80"/>
    </row>
    <row r="654" ht="15.75" customHeight="1">
      <c r="D654" s="80"/>
    </row>
    <row r="655" ht="15.75" customHeight="1">
      <c r="D655" s="80"/>
    </row>
    <row r="656" ht="15.75" customHeight="1">
      <c r="D656" s="80"/>
    </row>
    <row r="657" ht="15.75" customHeight="1">
      <c r="D657" s="80"/>
    </row>
    <row r="658" ht="15.75" customHeight="1">
      <c r="D658" s="80"/>
    </row>
    <row r="659" ht="15.75" customHeight="1">
      <c r="D659" s="80"/>
    </row>
    <row r="660" ht="15.75" customHeight="1">
      <c r="D660" s="80"/>
    </row>
    <row r="661" ht="15.75" customHeight="1">
      <c r="D661" s="80"/>
    </row>
    <row r="662" ht="15.75" customHeight="1">
      <c r="D662" s="80"/>
    </row>
    <row r="663" ht="15.75" customHeight="1">
      <c r="D663" s="80"/>
    </row>
    <row r="664" ht="15.75" customHeight="1">
      <c r="D664" s="80"/>
    </row>
    <row r="665" ht="15.75" customHeight="1">
      <c r="D665" s="80"/>
    </row>
    <row r="666" ht="15.75" customHeight="1">
      <c r="D666" s="80"/>
    </row>
    <row r="667" ht="15.75" customHeight="1">
      <c r="D667" s="80"/>
    </row>
    <row r="668" ht="15.75" customHeight="1">
      <c r="D668" s="80"/>
    </row>
    <row r="669" ht="15.75" customHeight="1">
      <c r="D669" s="80"/>
    </row>
    <row r="670" ht="15.75" customHeight="1">
      <c r="D670" s="80"/>
    </row>
    <row r="671" ht="15.75" customHeight="1">
      <c r="D671" s="80"/>
    </row>
    <row r="672" ht="15.75" customHeight="1">
      <c r="D672" s="80"/>
    </row>
    <row r="673" ht="15.75" customHeight="1">
      <c r="D673" s="80"/>
    </row>
    <row r="674" ht="15.75" customHeight="1">
      <c r="D674" s="80"/>
    </row>
    <row r="675" ht="15.75" customHeight="1">
      <c r="D675" s="80"/>
    </row>
    <row r="676" ht="15.75" customHeight="1">
      <c r="D676" s="80"/>
    </row>
    <row r="677" ht="15.75" customHeight="1">
      <c r="D677" s="80"/>
    </row>
    <row r="678" ht="15.75" customHeight="1">
      <c r="D678" s="80"/>
    </row>
    <row r="679" ht="15.75" customHeight="1">
      <c r="D679" s="80"/>
    </row>
    <row r="680" ht="15.75" customHeight="1">
      <c r="D680" s="80"/>
    </row>
    <row r="681" ht="15.75" customHeight="1">
      <c r="D681" s="80"/>
    </row>
    <row r="682" ht="15.75" customHeight="1">
      <c r="D682" s="80"/>
    </row>
    <row r="683" ht="15.75" customHeight="1">
      <c r="D683" s="80"/>
    </row>
    <row r="684" ht="15.75" customHeight="1">
      <c r="D684" s="80"/>
    </row>
    <row r="685" ht="15.75" customHeight="1">
      <c r="D685" s="80"/>
    </row>
    <row r="686" ht="15.75" customHeight="1">
      <c r="D686" s="80"/>
    </row>
    <row r="687" ht="15.75" customHeight="1">
      <c r="D687" s="80"/>
    </row>
    <row r="688" ht="15.75" customHeight="1">
      <c r="D688" s="80"/>
    </row>
    <row r="689" ht="15.75" customHeight="1">
      <c r="D689" s="80"/>
    </row>
    <row r="690" ht="15.75" customHeight="1">
      <c r="D690" s="80"/>
    </row>
    <row r="691" ht="15.75" customHeight="1">
      <c r="D691" s="80"/>
    </row>
    <row r="692" ht="15.75" customHeight="1">
      <c r="D692" s="80"/>
    </row>
    <row r="693" ht="15.75" customHeight="1">
      <c r="D693" s="80"/>
    </row>
    <row r="694" ht="15.75" customHeight="1">
      <c r="D694" s="80"/>
    </row>
    <row r="695" ht="15.75" customHeight="1">
      <c r="D695" s="80"/>
    </row>
    <row r="696" ht="15.75" customHeight="1">
      <c r="D696" s="80"/>
    </row>
    <row r="697" ht="15.75" customHeight="1">
      <c r="D697" s="80"/>
    </row>
    <row r="698" ht="15.75" customHeight="1">
      <c r="D698" s="80"/>
    </row>
    <row r="699" ht="15.75" customHeight="1">
      <c r="D699" s="80"/>
    </row>
    <row r="700" ht="15.75" customHeight="1">
      <c r="D700" s="80"/>
    </row>
    <row r="701" ht="15.75" customHeight="1">
      <c r="D701" s="80"/>
    </row>
    <row r="702" ht="15.75" customHeight="1">
      <c r="D702" s="80"/>
    </row>
    <row r="703" ht="15.75" customHeight="1">
      <c r="D703" s="80"/>
    </row>
    <row r="704" ht="15.75" customHeight="1">
      <c r="D704" s="80"/>
    </row>
    <row r="705" ht="15.75" customHeight="1">
      <c r="D705" s="80"/>
    </row>
    <row r="706" ht="15.75" customHeight="1">
      <c r="D706" s="80"/>
    </row>
    <row r="707" ht="15.75" customHeight="1">
      <c r="D707" s="80"/>
    </row>
    <row r="708" ht="15.75" customHeight="1">
      <c r="D708" s="80"/>
    </row>
    <row r="709" ht="15.75" customHeight="1">
      <c r="D709" s="80"/>
    </row>
    <row r="710" ht="15.75" customHeight="1">
      <c r="D710" s="80"/>
    </row>
    <row r="711" ht="15.75" customHeight="1">
      <c r="D711" s="80"/>
    </row>
    <row r="712" ht="15.75" customHeight="1">
      <c r="D712" s="80"/>
    </row>
    <row r="713" ht="15.75" customHeight="1">
      <c r="D713" s="80"/>
    </row>
    <row r="714" ht="15.75" customHeight="1">
      <c r="D714" s="80"/>
    </row>
    <row r="715" ht="15.75" customHeight="1">
      <c r="D715" s="80"/>
    </row>
    <row r="716" ht="15.75" customHeight="1">
      <c r="D716" s="80"/>
    </row>
    <row r="717" ht="15.75" customHeight="1">
      <c r="D717" s="80"/>
    </row>
    <row r="718" ht="15.75" customHeight="1">
      <c r="D718" s="80"/>
    </row>
    <row r="719" ht="15.75" customHeight="1">
      <c r="D719" s="80"/>
    </row>
    <row r="720" ht="15.75" customHeight="1">
      <c r="D720" s="80"/>
    </row>
    <row r="721" ht="15.75" customHeight="1">
      <c r="D721" s="80"/>
    </row>
    <row r="722" ht="15.75" customHeight="1">
      <c r="D722" s="80"/>
    </row>
    <row r="723" ht="15.75" customHeight="1">
      <c r="D723" s="80"/>
    </row>
    <row r="724" ht="15.75" customHeight="1">
      <c r="D724" s="80"/>
    </row>
    <row r="725" ht="15.75" customHeight="1">
      <c r="D725" s="80"/>
    </row>
    <row r="726" ht="15.75" customHeight="1">
      <c r="D726" s="80"/>
    </row>
    <row r="727" ht="15.75" customHeight="1">
      <c r="D727" s="80"/>
    </row>
    <row r="728" ht="15.75" customHeight="1">
      <c r="D728" s="80"/>
    </row>
    <row r="729" ht="15.75" customHeight="1">
      <c r="D729" s="80"/>
    </row>
    <row r="730" ht="15.75" customHeight="1">
      <c r="D730" s="80"/>
    </row>
    <row r="731" ht="15.75" customHeight="1">
      <c r="D731" s="80"/>
    </row>
    <row r="732" ht="15.75" customHeight="1">
      <c r="D732" s="80"/>
    </row>
    <row r="733" ht="15.75" customHeight="1">
      <c r="D733" s="80"/>
    </row>
    <row r="734" ht="15.75" customHeight="1">
      <c r="D734" s="80"/>
    </row>
    <row r="735" ht="15.75" customHeight="1">
      <c r="D735" s="80"/>
    </row>
    <row r="736" ht="15.75" customHeight="1">
      <c r="D736" s="80"/>
    </row>
    <row r="737" ht="15.75" customHeight="1">
      <c r="D737" s="80"/>
    </row>
    <row r="738" ht="15.75" customHeight="1">
      <c r="D738" s="80"/>
    </row>
    <row r="739" ht="15.75" customHeight="1">
      <c r="D739" s="80"/>
    </row>
    <row r="740" ht="15.75" customHeight="1">
      <c r="D740" s="80"/>
    </row>
    <row r="741" ht="15.75" customHeight="1">
      <c r="D741" s="80"/>
    </row>
    <row r="742" ht="15.75" customHeight="1">
      <c r="D742" s="80"/>
    </row>
    <row r="743" ht="15.75" customHeight="1">
      <c r="D743" s="80"/>
    </row>
    <row r="744" ht="15.75" customHeight="1">
      <c r="D744" s="80"/>
    </row>
    <row r="745" ht="15.75" customHeight="1">
      <c r="D745" s="80"/>
    </row>
    <row r="746" ht="15.75" customHeight="1">
      <c r="D746" s="80"/>
    </row>
    <row r="747" ht="15.75" customHeight="1">
      <c r="D747" s="80"/>
    </row>
    <row r="748" ht="15.75" customHeight="1">
      <c r="D748" s="80"/>
    </row>
    <row r="749" ht="15.75" customHeight="1">
      <c r="D749" s="80"/>
    </row>
    <row r="750" ht="15.75" customHeight="1">
      <c r="D750" s="80"/>
    </row>
    <row r="751" ht="15.75" customHeight="1">
      <c r="D751" s="80"/>
    </row>
    <row r="752" ht="15.75" customHeight="1">
      <c r="D752" s="80"/>
    </row>
    <row r="753" ht="15.75" customHeight="1">
      <c r="D753" s="80"/>
    </row>
    <row r="754" ht="15.75" customHeight="1">
      <c r="D754" s="80"/>
    </row>
    <row r="755" ht="15.75" customHeight="1">
      <c r="D755" s="80"/>
    </row>
    <row r="756" ht="15.75" customHeight="1">
      <c r="D756" s="80"/>
    </row>
    <row r="757" ht="15.75" customHeight="1">
      <c r="D757" s="80"/>
    </row>
    <row r="758" ht="15.75" customHeight="1">
      <c r="D758" s="80"/>
    </row>
    <row r="759" ht="15.75" customHeight="1">
      <c r="D759" s="80"/>
    </row>
    <row r="760" ht="15.75" customHeight="1">
      <c r="D760" s="80"/>
    </row>
    <row r="761" ht="15.75" customHeight="1">
      <c r="D761" s="80"/>
    </row>
    <row r="762" ht="15.75" customHeight="1">
      <c r="D762" s="80"/>
    </row>
    <row r="763" ht="15.75" customHeight="1">
      <c r="D763" s="80"/>
    </row>
    <row r="764" ht="15.75" customHeight="1">
      <c r="D764" s="80"/>
    </row>
    <row r="765" ht="15.75" customHeight="1">
      <c r="D765" s="80"/>
    </row>
    <row r="766" ht="15.75" customHeight="1">
      <c r="D766" s="80"/>
    </row>
    <row r="767" ht="15.75" customHeight="1">
      <c r="D767" s="80"/>
    </row>
    <row r="768" ht="15.75" customHeight="1">
      <c r="D768" s="80"/>
    </row>
    <row r="769" ht="15.75" customHeight="1">
      <c r="D769" s="80"/>
    </row>
    <row r="770" ht="15.75" customHeight="1">
      <c r="D770" s="80"/>
    </row>
    <row r="771" ht="15.75" customHeight="1">
      <c r="D771" s="80"/>
    </row>
    <row r="772" ht="15.75" customHeight="1">
      <c r="D772" s="80"/>
    </row>
    <row r="773" ht="15.75" customHeight="1">
      <c r="D773" s="80"/>
    </row>
    <row r="774" ht="15.75" customHeight="1">
      <c r="D774" s="80"/>
    </row>
    <row r="775" ht="15.75" customHeight="1">
      <c r="D775" s="80"/>
    </row>
    <row r="776" ht="15.75" customHeight="1">
      <c r="D776" s="80"/>
    </row>
    <row r="777" ht="15.75" customHeight="1">
      <c r="D777" s="80"/>
    </row>
    <row r="778" ht="15.75" customHeight="1">
      <c r="D778" s="80"/>
    </row>
    <row r="779" ht="15.75" customHeight="1">
      <c r="D779" s="80"/>
    </row>
    <row r="780" ht="15.75" customHeight="1">
      <c r="D780" s="80"/>
    </row>
    <row r="781" ht="15.75" customHeight="1">
      <c r="D781" s="80"/>
    </row>
    <row r="782" ht="15.75" customHeight="1">
      <c r="D782" s="80"/>
    </row>
    <row r="783" ht="15.75" customHeight="1">
      <c r="D783" s="80"/>
    </row>
    <row r="784" ht="15.75" customHeight="1">
      <c r="D784" s="80"/>
    </row>
    <row r="785" ht="15.75" customHeight="1">
      <c r="D785" s="80"/>
    </row>
    <row r="786" ht="15.75" customHeight="1">
      <c r="D786" s="80"/>
    </row>
    <row r="787" ht="15.75" customHeight="1">
      <c r="D787" s="80"/>
    </row>
    <row r="788" ht="15.75" customHeight="1">
      <c r="D788" s="80"/>
    </row>
    <row r="789" ht="15.75" customHeight="1">
      <c r="D789" s="80"/>
    </row>
    <row r="790" ht="15.75" customHeight="1">
      <c r="D790" s="80"/>
    </row>
    <row r="791" ht="15.75" customHeight="1">
      <c r="D791" s="80"/>
    </row>
    <row r="792" ht="15.75" customHeight="1">
      <c r="D792" s="80"/>
    </row>
    <row r="793" ht="15.75" customHeight="1">
      <c r="D793" s="80"/>
    </row>
    <row r="794" ht="15.75" customHeight="1">
      <c r="D794" s="80"/>
    </row>
    <row r="795" ht="15.75" customHeight="1">
      <c r="D795" s="80"/>
    </row>
    <row r="796" ht="15.75" customHeight="1">
      <c r="D796" s="80"/>
    </row>
    <row r="797" ht="15.75" customHeight="1">
      <c r="D797" s="80"/>
    </row>
    <row r="798" ht="15.75" customHeight="1">
      <c r="D798" s="80"/>
    </row>
    <row r="799" ht="15.75" customHeight="1">
      <c r="D799" s="80"/>
    </row>
    <row r="800" ht="15.75" customHeight="1">
      <c r="D800" s="80"/>
    </row>
    <row r="801" ht="15.75" customHeight="1">
      <c r="D801" s="80"/>
    </row>
    <row r="802" ht="15.75" customHeight="1">
      <c r="D802" s="80"/>
    </row>
    <row r="803" ht="15.75" customHeight="1">
      <c r="D803" s="80"/>
    </row>
    <row r="804" ht="15.75" customHeight="1">
      <c r="D804" s="80"/>
    </row>
    <row r="805" ht="15.75" customHeight="1">
      <c r="D805" s="80"/>
    </row>
    <row r="806" ht="15.75" customHeight="1">
      <c r="D806" s="80"/>
    </row>
    <row r="807" ht="15.75" customHeight="1">
      <c r="D807" s="80"/>
    </row>
    <row r="808" ht="15.75" customHeight="1">
      <c r="D808" s="80"/>
    </row>
    <row r="809" ht="15.75" customHeight="1">
      <c r="D809" s="80"/>
    </row>
    <row r="810" ht="15.75" customHeight="1">
      <c r="D810" s="80"/>
    </row>
    <row r="811" ht="15.75" customHeight="1">
      <c r="D811" s="80"/>
    </row>
    <row r="812" ht="15.75" customHeight="1">
      <c r="D812" s="80"/>
    </row>
    <row r="813" ht="15.75" customHeight="1">
      <c r="D813" s="80"/>
    </row>
    <row r="814" ht="15.75" customHeight="1">
      <c r="D814" s="80"/>
    </row>
    <row r="815" ht="15.75" customHeight="1">
      <c r="D815" s="80"/>
    </row>
    <row r="816" ht="15.75" customHeight="1">
      <c r="D816" s="80"/>
    </row>
    <row r="817" ht="15.75" customHeight="1">
      <c r="D817" s="80"/>
    </row>
    <row r="818" ht="15.75" customHeight="1">
      <c r="D818" s="80"/>
    </row>
    <row r="819" ht="15.75" customHeight="1">
      <c r="D819" s="80"/>
    </row>
    <row r="820" ht="15.75" customHeight="1">
      <c r="D820" s="80"/>
    </row>
    <row r="821" ht="15.75" customHeight="1">
      <c r="D821" s="80"/>
    </row>
    <row r="822" ht="15.75" customHeight="1">
      <c r="D822" s="80"/>
    </row>
    <row r="823" ht="15.75" customHeight="1">
      <c r="D823" s="80"/>
    </row>
    <row r="824" ht="15.75" customHeight="1">
      <c r="D824" s="80"/>
    </row>
    <row r="825" ht="15.75" customHeight="1">
      <c r="D825" s="80"/>
    </row>
    <row r="826" ht="15.75" customHeight="1">
      <c r="D826" s="80"/>
    </row>
    <row r="827" ht="15.75" customHeight="1">
      <c r="D827" s="80"/>
    </row>
    <row r="828" ht="15.75" customHeight="1">
      <c r="D828" s="80"/>
    </row>
    <row r="829" ht="15.75" customHeight="1">
      <c r="D829" s="80"/>
    </row>
    <row r="830" ht="15.75" customHeight="1">
      <c r="D830" s="80"/>
    </row>
    <row r="831" ht="15.75" customHeight="1">
      <c r="D831" s="80"/>
    </row>
    <row r="832" ht="15.75" customHeight="1">
      <c r="D832" s="80"/>
    </row>
    <row r="833" ht="15.75" customHeight="1">
      <c r="D833" s="80"/>
    </row>
    <row r="834" ht="15.75" customHeight="1">
      <c r="D834" s="80"/>
    </row>
    <row r="835" ht="15.75" customHeight="1">
      <c r="D835" s="80"/>
    </row>
    <row r="836" ht="15.75" customHeight="1">
      <c r="D836" s="80"/>
    </row>
    <row r="837" ht="15.75" customHeight="1">
      <c r="D837" s="80"/>
    </row>
    <row r="838" ht="15.75" customHeight="1">
      <c r="D838" s="80"/>
    </row>
    <row r="839" ht="15.75" customHeight="1">
      <c r="D839" s="80"/>
    </row>
    <row r="840" ht="15.75" customHeight="1">
      <c r="D840" s="80"/>
    </row>
    <row r="841" ht="15.75" customHeight="1">
      <c r="D841" s="80"/>
    </row>
    <row r="842" ht="15.75" customHeight="1">
      <c r="D842" s="80"/>
    </row>
    <row r="843" ht="15.75" customHeight="1">
      <c r="D843" s="80"/>
    </row>
    <row r="844" ht="15.75" customHeight="1">
      <c r="D844" s="80"/>
    </row>
    <row r="845" ht="15.75" customHeight="1">
      <c r="D845" s="80"/>
    </row>
    <row r="846" ht="15.75" customHeight="1">
      <c r="D846" s="80"/>
    </row>
    <row r="847" ht="15.75" customHeight="1">
      <c r="D847" s="80"/>
    </row>
    <row r="848" ht="15.75" customHeight="1">
      <c r="D848" s="80"/>
    </row>
    <row r="849" ht="15.75" customHeight="1">
      <c r="D849" s="80"/>
    </row>
    <row r="850" ht="15.75" customHeight="1">
      <c r="D850" s="80"/>
    </row>
    <row r="851" ht="15.75" customHeight="1">
      <c r="D851" s="80"/>
    </row>
    <row r="852" ht="15.75" customHeight="1">
      <c r="D852" s="80"/>
    </row>
    <row r="853" ht="15.75" customHeight="1">
      <c r="D853" s="80"/>
    </row>
    <row r="854" ht="15.75" customHeight="1">
      <c r="D854" s="80"/>
    </row>
    <row r="855" ht="15.75" customHeight="1">
      <c r="D855" s="80"/>
    </row>
    <row r="856" ht="15.75" customHeight="1">
      <c r="D856" s="80"/>
    </row>
    <row r="857" ht="15.75" customHeight="1">
      <c r="D857" s="80"/>
    </row>
    <row r="858" ht="15.75" customHeight="1">
      <c r="D858" s="80"/>
    </row>
    <row r="859" ht="15.75" customHeight="1">
      <c r="D859" s="80"/>
    </row>
    <row r="860" ht="15.75" customHeight="1">
      <c r="D860" s="80"/>
    </row>
    <row r="861" ht="15.75" customHeight="1">
      <c r="D861" s="80"/>
    </row>
    <row r="862" ht="15.75" customHeight="1">
      <c r="D862" s="80"/>
    </row>
    <row r="863" ht="15.75" customHeight="1">
      <c r="D863" s="80"/>
    </row>
    <row r="864" ht="15.75" customHeight="1">
      <c r="D864" s="80"/>
    </row>
    <row r="865" ht="15.75" customHeight="1">
      <c r="D865" s="80"/>
    </row>
    <row r="866" ht="15.75" customHeight="1">
      <c r="D866" s="80"/>
    </row>
    <row r="867" ht="15.75" customHeight="1">
      <c r="D867" s="80"/>
    </row>
    <row r="868" ht="15.75" customHeight="1">
      <c r="D868" s="80"/>
    </row>
    <row r="869" ht="15.75" customHeight="1">
      <c r="D869" s="80"/>
    </row>
    <row r="870" ht="15.75" customHeight="1">
      <c r="D870" s="80"/>
    </row>
    <row r="871" ht="15.75" customHeight="1">
      <c r="D871" s="80"/>
    </row>
    <row r="872" ht="15.75" customHeight="1">
      <c r="D872" s="80"/>
    </row>
    <row r="873" ht="15.75" customHeight="1">
      <c r="D873" s="80"/>
    </row>
    <row r="874" ht="15.75" customHeight="1">
      <c r="D874" s="80"/>
    </row>
    <row r="875" ht="15.75" customHeight="1">
      <c r="D875" s="80"/>
    </row>
    <row r="876" ht="15.75" customHeight="1">
      <c r="D876" s="80"/>
    </row>
    <row r="877" ht="15.75" customHeight="1">
      <c r="D877" s="80"/>
    </row>
    <row r="878" ht="15.75" customHeight="1">
      <c r="D878" s="80"/>
    </row>
    <row r="879" ht="15.75" customHeight="1">
      <c r="D879" s="80"/>
    </row>
    <row r="880" ht="15.75" customHeight="1">
      <c r="D880" s="80"/>
    </row>
    <row r="881" ht="15.75" customHeight="1">
      <c r="D881" s="80"/>
    </row>
    <row r="882" ht="15.75" customHeight="1">
      <c r="D882" s="80"/>
    </row>
    <row r="883" ht="15.75" customHeight="1">
      <c r="D883" s="80"/>
    </row>
    <row r="884" ht="15.75" customHeight="1">
      <c r="D884" s="80"/>
    </row>
    <row r="885" ht="15.75" customHeight="1">
      <c r="D885" s="80"/>
    </row>
    <row r="886" ht="15.75" customHeight="1">
      <c r="D886" s="80"/>
    </row>
    <row r="887" ht="15.75" customHeight="1">
      <c r="D887" s="80"/>
    </row>
    <row r="888" ht="15.75" customHeight="1">
      <c r="D888" s="80"/>
    </row>
    <row r="889" ht="15.75" customHeight="1">
      <c r="D889" s="80"/>
    </row>
    <row r="890" ht="15.75" customHeight="1">
      <c r="D890" s="80"/>
    </row>
    <row r="891" ht="15.75" customHeight="1">
      <c r="D891" s="80"/>
    </row>
    <row r="892" ht="15.75" customHeight="1">
      <c r="D892" s="80"/>
    </row>
    <row r="893" ht="15.75" customHeight="1">
      <c r="D893" s="80"/>
    </row>
    <row r="894" ht="15.75" customHeight="1">
      <c r="D894" s="80"/>
    </row>
    <row r="895" ht="15.75" customHeight="1">
      <c r="D895" s="80"/>
    </row>
    <row r="896" ht="15.75" customHeight="1">
      <c r="D896" s="80"/>
    </row>
    <row r="897" ht="15.75" customHeight="1">
      <c r="D897" s="80"/>
    </row>
    <row r="898" ht="15.75" customHeight="1">
      <c r="D898" s="80"/>
    </row>
    <row r="899" ht="15.75" customHeight="1">
      <c r="D899" s="80"/>
    </row>
    <row r="900" ht="15.75" customHeight="1">
      <c r="D900" s="80"/>
    </row>
    <row r="901" ht="15.75" customHeight="1">
      <c r="D901" s="80"/>
    </row>
    <row r="902" ht="15.75" customHeight="1">
      <c r="D902" s="80"/>
    </row>
    <row r="903" ht="15.75" customHeight="1">
      <c r="D903" s="80"/>
    </row>
    <row r="904" ht="15.75" customHeight="1">
      <c r="D904" s="80"/>
    </row>
    <row r="905" ht="15.75" customHeight="1">
      <c r="D905" s="80"/>
    </row>
    <row r="906" ht="15.75" customHeight="1">
      <c r="D906" s="80"/>
    </row>
    <row r="907" ht="15.75" customHeight="1">
      <c r="D907" s="80"/>
    </row>
    <row r="908" ht="15.75" customHeight="1">
      <c r="D908" s="80"/>
    </row>
    <row r="909" ht="15.75" customHeight="1">
      <c r="D909" s="80"/>
    </row>
    <row r="910" ht="15.75" customHeight="1">
      <c r="D910" s="80"/>
    </row>
    <row r="911" ht="15.75" customHeight="1">
      <c r="D911" s="80"/>
    </row>
    <row r="912" ht="15.75" customHeight="1">
      <c r="D912" s="80"/>
    </row>
    <row r="913" ht="15.75" customHeight="1">
      <c r="D913" s="80"/>
    </row>
    <row r="914" ht="15.75" customHeight="1">
      <c r="D914" s="80"/>
    </row>
    <row r="915" ht="15.75" customHeight="1">
      <c r="D915" s="80"/>
    </row>
    <row r="916" ht="15.75" customHeight="1">
      <c r="D916" s="80"/>
    </row>
    <row r="917" ht="15.75" customHeight="1">
      <c r="D917" s="80"/>
    </row>
    <row r="918" ht="15.75" customHeight="1">
      <c r="D918" s="80"/>
    </row>
    <row r="919" ht="15.75" customHeight="1">
      <c r="D919" s="80"/>
    </row>
    <row r="920" ht="15.75" customHeight="1">
      <c r="D920" s="80"/>
    </row>
    <row r="921" ht="15.75" customHeight="1">
      <c r="D921" s="80"/>
    </row>
    <row r="922" ht="15.75" customHeight="1">
      <c r="D922" s="80"/>
    </row>
    <row r="923" ht="15.75" customHeight="1">
      <c r="D923" s="80"/>
    </row>
    <row r="924" ht="15.75" customHeight="1">
      <c r="D924" s="80"/>
    </row>
    <row r="925" ht="15.75" customHeight="1">
      <c r="D925" s="80"/>
    </row>
    <row r="926" ht="15.75" customHeight="1">
      <c r="D926" s="80"/>
    </row>
    <row r="927" ht="15.75" customHeight="1">
      <c r="D927" s="80"/>
    </row>
    <row r="928" ht="15.75" customHeight="1">
      <c r="D928" s="80"/>
    </row>
    <row r="929" ht="15.75" customHeight="1">
      <c r="D929" s="80"/>
    </row>
    <row r="930" ht="15.75" customHeight="1">
      <c r="D930" s="80"/>
    </row>
    <row r="931" ht="15.75" customHeight="1">
      <c r="D931" s="80"/>
    </row>
    <row r="932" ht="15.75" customHeight="1">
      <c r="D932" s="80"/>
    </row>
    <row r="933" ht="15.75" customHeight="1">
      <c r="D933" s="80"/>
    </row>
    <row r="934" ht="15.75" customHeight="1">
      <c r="D934" s="80"/>
    </row>
    <row r="935" ht="15.75" customHeight="1">
      <c r="D935" s="80"/>
    </row>
    <row r="936" ht="15.75" customHeight="1">
      <c r="D936" s="80"/>
    </row>
    <row r="937" ht="15.75" customHeight="1">
      <c r="D937" s="80"/>
    </row>
    <row r="938" ht="15.75" customHeight="1">
      <c r="D938" s="80"/>
    </row>
    <row r="939" ht="15.75" customHeight="1">
      <c r="D939" s="80"/>
    </row>
    <row r="940" ht="15.75" customHeight="1">
      <c r="D940" s="80"/>
    </row>
    <row r="941" ht="15.75" customHeight="1">
      <c r="D941" s="80"/>
    </row>
    <row r="942" ht="15.75" customHeight="1">
      <c r="D942" s="80"/>
    </row>
    <row r="943" ht="15.75" customHeight="1">
      <c r="D943" s="80"/>
    </row>
    <row r="944" ht="15.75" customHeight="1">
      <c r="D944" s="80"/>
    </row>
    <row r="945" ht="15.75" customHeight="1">
      <c r="D945" s="80"/>
    </row>
    <row r="946" ht="15.75" customHeight="1">
      <c r="D946" s="80"/>
    </row>
    <row r="947" ht="15.75" customHeight="1">
      <c r="D947" s="80"/>
    </row>
    <row r="948" ht="15.75" customHeight="1">
      <c r="D948" s="80"/>
    </row>
    <row r="949" ht="15.75" customHeight="1">
      <c r="D949" s="80"/>
    </row>
    <row r="950" ht="15.75" customHeight="1">
      <c r="D950" s="80"/>
    </row>
    <row r="951" ht="15.75" customHeight="1">
      <c r="D951" s="80"/>
    </row>
    <row r="952" ht="15.75" customHeight="1">
      <c r="D952" s="80"/>
    </row>
    <row r="953" ht="15.75" customHeight="1">
      <c r="D953" s="80"/>
    </row>
    <row r="954" ht="15.75" customHeight="1">
      <c r="D954" s="80"/>
    </row>
    <row r="955" ht="15.75" customHeight="1">
      <c r="D955" s="80"/>
    </row>
    <row r="956" ht="15.75" customHeight="1">
      <c r="D956" s="80"/>
    </row>
    <row r="957" ht="15.75" customHeight="1">
      <c r="D957" s="80"/>
    </row>
    <row r="958" ht="15.75" customHeight="1">
      <c r="D958" s="80"/>
    </row>
    <row r="959" ht="15.75" customHeight="1">
      <c r="D959" s="80"/>
    </row>
    <row r="960" ht="15.75" customHeight="1">
      <c r="D960" s="80"/>
    </row>
    <row r="961" ht="15.75" customHeight="1">
      <c r="D961" s="80"/>
    </row>
    <row r="962" ht="15.75" customHeight="1">
      <c r="D962" s="80"/>
    </row>
    <row r="963" ht="15.75" customHeight="1">
      <c r="D963" s="80"/>
    </row>
    <row r="964" ht="15.75" customHeight="1">
      <c r="D964" s="80"/>
    </row>
    <row r="965" ht="15.75" customHeight="1">
      <c r="D965" s="80"/>
    </row>
    <row r="966" ht="15.75" customHeight="1">
      <c r="D966" s="80"/>
    </row>
    <row r="967" ht="15.75" customHeight="1">
      <c r="D967" s="80"/>
    </row>
    <row r="968" ht="15.75" customHeight="1">
      <c r="D968" s="80"/>
    </row>
    <row r="969" ht="15.75" customHeight="1">
      <c r="D969" s="80"/>
    </row>
    <row r="970" ht="15.75" customHeight="1">
      <c r="D970" s="80"/>
    </row>
    <row r="971" ht="15.75" customHeight="1">
      <c r="D971" s="80"/>
    </row>
    <row r="972" ht="15.75" customHeight="1">
      <c r="D972" s="80"/>
    </row>
    <row r="973" ht="15.75" customHeight="1">
      <c r="D973" s="80"/>
    </row>
    <row r="974" ht="15.75" customHeight="1">
      <c r="D974" s="80"/>
    </row>
    <row r="975" ht="15.75" customHeight="1">
      <c r="D975" s="80"/>
    </row>
    <row r="976" ht="15.75" customHeight="1">
      <c r="D976" s="80"/>
    </row>
    <row r="977" ht="15.75" customHeight="1">
      <c r="D977" s="80"/>
    </row>
    <row r="978" ht="15.75" customHeight="1">
      <c r="D978" s="80"/>
    </row>
    <row r="979" ht="15.75" customHeight="1">
      <c r="D979" s="80"/>
    </row>
    <row r="980" ht="15.75" customHeight="1">
      <c r="D980" s="80"/>
    </row>
    <row r="981" ht="15.75" customHeight="1">
      <c r="D981" s="80"/>
    </row>
    <row r="982" ht="15.75" customHeight="1">
      <c r="D982" s="80"/>
    </row>
    <row r="983" ht="15.75" customHeight="1">
      <c r="D983" s="80"/>
    </row>
    <row r="984" ht="15.75" customHeight="1">
      <c r="D984" s="80"/>
    </row>
    <row r="985" ht="15.75" customHeight="1">
      <c r="D985" s="80"/>
    </row>
    <row r="986" ht="15.75" customHeight="1">
      <c r="D986" s="80"/>
    </row>
    <row r="987" ht="15.75" customHeight="1">
      <c r="D987" s="80"/>
    </row>
    <row r="988" ht="15.75" customHeight="1">
      <c r="D988" s="80"/>
    </row>
    <row r="989" ht="15.75" customHeight="1">
      <c r="D989" s="80"/>
    </row>
    <row r="990" ht="15.75" customHeight="1">
      <c r="D990" s="80"/>
    </row>
    <row r="991" ht="15.75" customHeight="1">
      <c r="D991" s="80"/>
    </row>
    <row r="992" ht="15.75" customHeight="1">
      <c r="D992" s="80"/>
    </row>
    <row r="993" ht="15.75" customHeight="1">
      <c r="D993" s="80"/>
    </row>
    <row r="994" ht="15.75" customHeight="1">
      <c r="D994" s="80"/>
    </row>
    <row r="995" ht="15.75" customHeight="1">
      <c r="D995" s="80"/>
    </row>
    <row r="996" ht="15.75" customHeight="1">
      <c r="D996" s="80"/>
    </row>
  </sheetData>
  <mergeCells count="14">
    <mergeCell ref="C47:D47"/>
    <mergeCell ref="C48:D48"/>
    <mergeCell ref="E49:F49"/>
    <mergeCell ref="C50:D50"/>
    <mergeCell ref="C52:D52"/>
    <mergeCell ref="C53:D53"/>
    <mergeCell ref="C54:D54"/>
    <mergeCell ref="A1:C1"/>
    <mergeCell ref="D1:D4"/>
    <mergeCell ref="E1:X1"/>
    <mergeCell ref="A4:C4"/>
    <mergeCell ref="A5:C5"/>
    <mergeCell ref="C45:D45"/>
    <mergeCell ref="C46:D46"/>
  </mergeCells>
  <conditionalFormatting sqref="D5:D43">
    <cfRule type="cellIs" dxfId="3" priority="1" operator="greaterThanOrEqual">
      <formula>5</formula>
    </cfRule>
  </conditionalFormatting>
  <conditionalFormatting sqref="F5:F43">
    <cfRule type="cellIs" dxfId="0" priority="2" operator="equal">
      <formula>"B"</formula>
    </cfRule>
  </conditionalFormatting>
  <conditionalFormatting sqref="I5:I43">
    <cfRule type="cellIs" dxfId="0" priority="3" operator="equal">
      <formula>"B"</formula>
    </cfRule>
  </conditionalFormatting>
  <conditionalFormatting sqref="J5:J43">
    <cfRule type="cellIs" dxfId="0" priority="4" operator="equal">
      <formula>"B"</formula>
    </cfRule>
  </conditionalFormatting>
  <conditionalFormatting sqref="L5:L43">
    <cfRule type="cellIs" dxfId="0" priority="5" operator="equal">
      <formula>"D"</formula>
    </cfRule>
  </conditionalFormatting>
  <conditionalFormatting sqref="M5:M43">
    <cfRule type="cellIs" dxfId="0" priority="6" operator="equal">
      <formula>"B"</formula>
    </cfRule>
  </conditionalFormatting>
  <conditionalFormatting sqref="N5:N43">
    <cfRule type="cellIs" dxfId="0" priority="7" operator="equal">
      <formula>"C"</formula>
    </cfRule>
  </conditionalFormatting>
  <conditionalFormatting sqref="O5:O43">
    <cfRule type="cellIs" dxfId="0" priority="8" operator="equal">
      <formula>"E"</formula>
    </cfRule>
  </conditionalFormatting>
  <conditionalFormatting sqref="Q5:Q43">
    <cfRule type="cellIs" dxfId="0" priority="9" operator="equal">
      <formula>"D"</formula>
    </cfRule>
  </conditionalFormatting>
  <conditionalFormatting sqref="R5:R43">
    <cfRule type="cellIs" dxfId="0" priority="10" operator="equal">
      <formula>"E"</formula>
    </cfRule>
  </conditionalFormatting>
  <conditionalFormatting sqref="T5:T43">
    <cfRule type="cellIs" dxfId="0" priority="11" operator="equal">
      <formula>"##"</formula>
    </cfRule>
  </conditionalFormatting>
  <conditionalFormatting sqref="V5:V43">
    <cfRule type="cellIs" dxfId="0" priority="12" operator="equal">
      <formula>"D"</formula>
    </cfRule>
  </conditionalFormatting>
  <conditionalFormatting sqref="W5:W43">
    <cfRule type="cellIs" dxfId="0" priority="13" operator="equal">
      <formula>"D"</formula>
    </cfRule>
  </conditionalFormatting>
  <conditionalFormatting sqref="E45:X45">
    <cfRule type="cellIs" dxfId="4" priority="14" operator="lessThan">
      <formula>13</formula>
    </cfRule>
  </conditionalFormatting>
  <conditionalFormatting sqref="E45:X45">
    <cfRule type="cellIs" dxfId="5" priority="15" operator="greaterThan">
      <formula>13</formula>
    </cfRule>
  </conditionalFormatting>
  <conditionalFormatting sqref="E46:X46">
    <cfRule type="cellIs" dxfId="4" priority="16" operator="lessThan">
      <formula>"50%"</formula>
    </cfRule>
  </conditionalFormatting>
  <conditionalFormatting sqref="E46:X46">
    <cfRule type="cellIs" dxfId="5" priority="17" operator="greaterThan">
      <formula>"50%"</formula>
    </cfRule>
  </conditionalFormatting>
  <conditionalFormatting sqref="E47:X47">
    <cfRule type="cellIs" dxfId="4" priority="18" operator="greaterThan">
      <formula>13</formula>
    </cfRule>
  </conditionalFormatting>
  <conditionalFormatting sqref="E47:X47">
    <cfRule type="cellIs" dxfId="5" priority="19" operator="lessThan">
      <formula>13</formula>
    </cfRule>
  </conditionalFormatting>
  <conditionalFormatting sqref="P5:P43">
    <cfRule type="cellIs" dxfId="0" priority="20" operator="equal">
      <formula>"B"</formula>
    </cfRule>
  </conditionalFormatting>
  <conditionalFormatting sqref="S5:S43">
    <cfRule type="cellIs" dxfId="0" priority="21" operator="equal">
      <formula>"C"</formula>
    </cfRule>
  </conditionalFormatting>
  <conditionalFormatting sqref="H5:H43">
    <cfRule type="cellIs" dxfId="0" priority="22" operator="equal">
      <formula>"B"</formula>
    </cfRule>
  </conditionalFormatting>
  <conditionalFormatting sqref="K5:K43">
    <cfRule type="cellIs" dxfId="0" priority="23" operator="equal">
      <formula>"D"</formula>
    </cfRule>
  </conditionalFormatting>
  <conditionalFormatting sqref="U5:U43">
    <cfRule type="cellIs" dxfId="0" priority="24" operator="equal">
      <formula>"D"</formula>
    </cfRule>
  </conditionalFormatting>
  <conditionalFormatting sqref="G5:G43">
    <cfRule type="cellIs" dxfId="0" priority="25" operator="equal">
      <formula>"C"</formula>
    </cfRule>
  </conditionalFormatting>
  <conditionalFormatting sqref="X5:X43">
    <cfRule type="cellIs" dxfId="0" priority="26" operator="equal">
      <formula>"C"</formula>
    </cfRule>
  </conditionalFormatting>
  <conditionalFormatting sqref="D63:X101">
    <cfRule type="cellIs" dxfId="0" priority="27" operator="equal">
      <formula>0.5</formula>
    </cfRule>
  </conditionalFormatting>
  <conditionalFormatting sqref="B64:B101">
    <cfRule type="containsBlanks" dxfId="1" priority="28">
      <formula>LEN(TRIM(B64))=0</formula>
    </cfRule>
  </conditionalFormatting>
  <conditionalFormatting sqref="B64:B101">
    <cfRule type="cellIs" dxfId="1" priority="29" operator="equal">
      <formula>0</formula>
    </cfRule>
  </conditionalFormatting>
  <conditionalFormatting sqref="D5:D43">
    <cfRule type="cellIs" dxfId="6" priority="30" operator="lessThan">
      <formula>5</formula>
    </cfRule>
  </conditionalFormatting>
  <conditionalFormatting sqref="E5:E43">
    <cfRule type="cellIs" dxfId="0" priority="31" operator="equal">
      <formula>"A"</formula>
    </cfRule>
  </conditionalFormatting>
  <conditionalFormatting sqref="D5:D43">
    <cfRule type="containsBlanks" dxfId="7" priority="32">
      <formula>LEN(TRIM(D5))=0</formula>
    </cfRule>
  </conditionalFormatting>
  <conditionalFormatting sqref="E48:X48">
    <cfRule type="cellIs" dxfId="2" priority="33" operator="greaterThan">
      <formula>"50%"</formula>
    </cfRule>
  </conditionalFormatting>
  <conditionalFormatting sqref="E48:X48">
    <cfRule type="cellIs" dxfId="8" priority="34" operator="lessThan">
      <formula>"50%"</formula>
    </cfRule>
  </conditionalFormatting>
  <conditionalFormatting sqref="E50:X50">
    <cfRule type="cellIs" dxfId="8" priority="35" operator="greaterThanOrEqual">
      <formula>"50%"</formula>
    </cfRule>
  </conditionalFormatting>
  <conditionalFormatting sqref="E50:X50">
    <cfRule type="cellIs" dxfId="2" priority="36" operator="lessThan">
      <formula>"50%"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1" width="3.0"/>
    <col customWidth="1" min="2" max="2" width="11.75"/>
    <col customWidth="1" min="3" max="3" width="1.13"/>
    <col customWidth="1" min="4" max="4" width="25.88"/>
    <col customWidth="1" min="5" max="24" width="4.88"/>
  </cols>
  <sheetData>
    <row r="1" ht="15.75" customHeight="1">
      <c r="A1" s="22" t="s">
        <v>360</v>
      </c>
      <c r="B1" s="23"/>
      <c r="C1" s="24"/>
      <c r="D1" s="25" t="s">
        <v>330</v>
      </c>
      <c r="E1" s="26" t="s">
        <v>331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/>
    </row>
    <row r="2" ht="15.75" customHeight="1">
      <c r="A2" s="27" t="s">
        <v>0</v>
      </c>
      <c r="B2" s="28" t="s">
        <v>332</v>
      </c>
      <c r="C2" s="27" t="s">
        <v>333</v>
      </c>
      <c r="D2" s="29"/>
      <c r="E2" s="30">
        <v>1.0</v>
      </c>
      <c r="F2" s="31">
        <v>2.0</v>
      </c>
      <c r="G2" s="31">
        <v>3.0</v>
      </c>
      <c r="H2" s="31">
        <v>4.0</v>
      </c>
      <c r="I2" s="31">
        <v>5.0</v>
      </c>
      <c r="J2" s="31">
        <v>6.0</v>
      </c>
      <c r="K2" s="31">
        <v>7.0</v>
      </c>
      <c r="L2" s="31">
        <v>8.0</v>
      </c>
      <c r="M2" s="31">
        <v>9.0</v>
      </c>
      <c r="N2" s="31">
        <v>10.0</v>
      </c>
      <c r="O2" s="31">
        <v>11.0</v>
      </c>
      <c r="P2" s="31">
        <v>12.0</v>
      </c>
      <c r="Q2" s="31">
        <v>13.0</v>
      </c>
      <c r="R2" s="31">
        <v>14.0</v>
      </c>
      <c r="S2" s="31">
        <v>15.0</v>
      </c>
      <c r="T2" s="31">
        <v>16.0</v>
      </c>
      <c r="U2" s="31">
        <v>17.0</v>
      </c>
      <c r="V2" s="31">
        <v>18.0</v>
      </c>
      <c r="W2" s="31">
        <v>19.0</v>
      </c>
      <c r="X2" s="31">
        <v>20.0</v>
      </c>
    </row>
    <row r="3" ht="15.75" customHeight="1">
      <c r="A3" s="32" t="s">
        <v>334</v>
      </c>
      <c r="B3" s="32" t="s">
        <v>335</v>
      </c>
      <c r="C3" s="33" t="s">
        <v>336</v>
      </c>
      <c r="D3" s="29"/>
      <c r="E3" s="34" t="s">
        <v>29</v>
      </c>
      <c r="F3" s="35" t="s">
        <v>28</v>
      </c>
      <c r="G3" s="35" t="s">
        <v>30</v>
      </c>
      <c r="H3" s="35" t="s">
        <v>28</v>
      </c>
      <c r="I3" s="35" t="s">
        <v>28</v>
      </c>
      <c r="J3" s="35" t="s">
        <v>28</v>
      </c>
      <c r="K3" s="35" t="s">
        <v>31</v>
      </c>
      <c r="L3" s="35" t="s">
        <v>31</v>
      </c>
      <c r="M3" s="35" t="s">
        <v>28</v>
      </c>
      <c r="N3" s="35" t="s">
        <v>30</v>
      </c>
      <c r="O3" s="35" t="s">
        <v>32</v>
      </c>
      <c r="P3" s="35" t="s">
        <v>28</v>
      </c>
      <c r="Q3" s="35" t="s">
        <v>31</v>
      </c>
      <c r="R3" s="35" t="s">
        <v>32</v>
      </c>
      <c r="S3" s="35" t="s">
        <v>30</v>
      </c>
      <c r="T3" s="36" t="s">
        <v>337</v>
      </c>
      <c r="U3" s="35" t="s">
        <v>31</v>
      </c>
      <c r="V3" s="35" t="s">
        <v>31</v>
      </c>
      <c r="W3" s="35" t="s">
        <v>31</v>
      </c>
      <c r="X3" s="35" t="s">
        <v>30</v>
      </c>
    </row>
    <row r="4" ht="15.75" customHeight="1">
      <c r="A4" s="37" t="s">
        <v>338</v>
      </c>
      <c r="B4" s="38"/>
      <c r="C4" s="39"/>
      <c r="D4" s="40"/>
      <c r="E4" s="41">
        <v>0.5</v>
      </c>
      <c r="F4" s="42">
        <v>0.5</v>
      </c>
      <c r="G4" s="42">
        <v>0.5</v>
      </c>
      <c r="H4" s="42">
        <v>0.5</v>
      </c>
      <c r="I4" s="42">
        <v>0.5</v>
      </c>
      <c r="J4" s="42">
        <v>0.5</v>
      </c>
      <c r="K4" s="42">
        <v>0.5</v>
      </c>
      <c r="L4" s="42">
        <v>0.5</v>
      </c>
      <c r="M4" s="42">
        <v>0.5</v>
      </c>
      <c r="N4" s="42">
        <v>0.5</v>
      </c>
      <c r="O4" s="42">
        <v>0.5</v>
      </c>
      <c r="P4" s="42">
        <v>0.5</v>
      </c>
      <c r="Q4" s="42">
        <v>0.5</v>
      </c>
      <c r="R4" s="42">
        <v>0.5</v>
      </c>
      <c r="S4" s="42">
        <v>0.5</v>
      </c>
      <c r="T4" s="42">
        <v>0.5</v>
      </c>
      <c r="U4" s="42">
        <v>0.5</v>
      </c>
      <c r="V4" s="42">
        <v>0.5</v>
      </c>
      <c r="W4" s="42">
        <v>0.5</v>
      </c>
      <c r="X4" s="42">
        <v>0.5</v>
      </c>
    </row>
    <row r="5" ht="15.75" customHeight="1">
      <c r="A5" s="43" t="s">
        <v>339</v>
      </c>
      <c r="B5" s="23"/>
      <c r="C5" s="24"/>
      <c r="D5" s="44">
        <f t="shared" ref="D5:D6" si="1">B63</f>
        <v>10</v>
      </c>
      <c r="E5" s="45" t="s">
        <v>29</v>
      </c>
      <c r="F5" s="46" t="s">
        <v>28</v>
      </c>
      <c r="G5" s="46" t="s">
        <v>30</v>
      </c>
      <c r="H5" s="46" t="s">
        <v>28</v>
      </c>
      <c r="I5" s="46" t="s">
        <v>28</v>
      </c>
      <c r="J5" s="46" t="s">
        <v>28</v>
      </c>
      <c r="K5" s="46" t="s">
        <v>31</v>
      </c>
      <c r="L5" s="46" t="s">
        <v>31</v>
      </c>
      <c r="M5" s="46" t="s">
        <v>28</v>
      </c>
      <c r="N5" s="46" t="s">
        <v>30</v>
      </c>
      <c r="O5" s="46" t="s">
        <v>32</v>
      </c>
      <c r="P5" s="46" t="s">
        <v>28</v>
      </c>
      <c r="Q5" s="46" t="s">
        <v>31</v>
      </c>
      <c r="R5" s="46" t="s">
        <v>32</v>
      </c>
      <c r="S5" s="46" t="s">
        <v>30</v>
      </c>
      <c r="T5" s="46" t="s">
        <v>337</v>
      </c>
      <c r="U5" s="46" t="s">
        <v>31</v>
      </c>
      <c r="V5" s="46" t="s">
        <v>31</v>
      </c>
      <c r="W5" s="46" t="s">
        <v>31</v>
      </c>
      <c r="X5" s="46" t="s">
        <v>30</v>
      </c>
    </row>
    <row r="6" ht="15.75" customHeight="1">
      <c r="A6" s="47">
        <v>1.0</v>
      </c>
      <c r="B6" s="48" t="s">
        <v>108</v>
      </c>
      <c r="C6" s="49" t="s">
        <v>109</v>
      </c>
      <c r="D6" s="50">
        <f t="shared" si="1"/>
        <v>5</v>
      </c>
      <c r="E6" s="51"/>
      <c r="F6" s="52" t="s">
        <v>28</v>
      </c>
      <c r="G6" s="52"/>
      <c r="H6" s="52" t="s">
        <v>28</v>
      </c>
      <c r="I6" s="52" t="s">
        <v>30</v>
      </c>
      <c r="J6" s="52" t="s">
        <v>29</v>
      </c>
      <c r="K6" s="52" t="s">
        <v>28</v>
      </c>
      <c r="L6" s="52"/>
      <c r="M6" s="52" t="s">
        <v>28</v>
      </c>
      <c r="N6" s="52" t="s">
        <v>30</v>
      </c>
      <c r="O6" s="52" t="s">
        <v>32</v>
      </c>
      <c r="P6" s="52"/>
      <c r="Q6" s="52" t="s">
        <v>31</v>
      </c>
      <c r="R6" s="52"/>
      <c r="S6" s="52" t="s">
        <v>31</v>
      </c>
      <c r="T6" s="52" t="s">
        <v>337</v>
      </c>
      <c r="U6" s="52" t="s">
        <v>31</v>
      </c>
      <c r="V6" s="52" t="s">
        <v>31</v>
      </c>
      <c r="W6" s="52" t="s">
        <v>31</v>
      </c>
      <c r="X6" s="52"/>
    </row>
    <row r="7" ht="15.75" customHeight="1">
      <c r="A7" s="53">
        <v>2.0</v>
      </c>
      <c r="B7" s="54" t="s">
        <v>110</v>
      </c>
      <c r="C7" s="55" t="s">
        <v>111</v>
      </c>
      <c r="D7" s="56"/>
      <c r="E7" s="51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 ht="15.75" customHeight="1">
      <c r="A8" s="53">
        <v>3.0</v>
      </c>
      <c r="B8" s="54" t="s">
        <v>112</v>
      </c>
      <c r="C8" s="55" t="s">
        <v>113</v>
      </c>
      <c r="D8" s="56">
        <f t="shared" ref="D8:D11" si="2">B66</f>
        <v>5.5</v>
      </c>
      <c r="E8" s="51" t="s">
        <v>28</v>
      </c>
      <c r="F8" s="52" t="s">
        <v>29</v>
      </c>
      <c r="G8" s="52" t="s">
        <v>32</v>
      </c>
      <c r="H8" s="52" t="s">
        <v>28</v>
      </c>
      <c r="I8" s="52" t="s">
        <v>28</v>
      </c>
      <c r="J8" s="52" t="s">
        <v>29</v>
      </c>
      <c r="K8" s="52" t="s">
        <v>32</v>
      </c>
      <c r="L8" s="52" t="s">
        <v>31</v>
      </c>
      <c r="M8" s="52" t="s">
        <v>28</v>
      </c>
      <c r="N8" s="52" t="s">
        <v>30</v>
      </c>
      <c r="O8" s="52" t="s">
        <v>32</v>
      </c>
      <c r="P8" s="52" t="s">
        <v>28</v>
      </c>
      <c r="Q8" s="52" t="s">
        <v>31</v>
      </c>
      <c r="R8" s="52" t="s">
        <v>29</v>
      </c>
      <c r="S8" s="52" t="s">
        <v>30</v>
      </c>
      <c r="T8" s="52" t="s">
        <v>337</v>
      </c>
      <c r="U8" s="52" t="s">
        <v>31</v>
      </c>
      <c r="V8" s="52" t="s">
        <v>28</v>
      </c>
      <c r="W8" s="52" t="s">
        <v>32</v>
      </c>
      <c r="X8" s="52" t="s">
        <v>32</v>
      </c>
    </row>
    <row r="9" ht="15.75" customHeight="1">
      <c r="A9" s="53">
        <v>4.0</v>
      </c>
      <c r="B9" s="54" t="s">
        <v>114</v>
      </c>
      <c r="C9" s="55" t="s">
        <v>115</v>
      </c>
      <c r="D9" s="56">
        <f t="shared" si="2"/>
        <v>6</v>
      </c>
      <c r="E9" s="51" t="s">
        <v>30</v>
      </c>
      <c r="F9" s="52" t="s">
        <v>28</v>
      </c>
      <c r="G9" s="52" t="s">
        <v>31</v>
      </c>
      <c r="H9" s="52" t="s">
        <v>28</v>
      </c>
      <c r="I9" s="52" t="s">
        <v>32</v>
      </c>
      <c r="J9" s="52" t="s">
        <v>28</v>
      </c>
      <c r="K9" s="52" t="s">
        <v>31</v>
      </c>
      <c r="L9" s="52" t="s">
        <v>31</v>
      </c>
      <c r="M9" s="52" t="s">
        <v>30</v>
      </c>
      <c r="N9" s="52" t="s">
        <v>30</v>
      </c>
      <c r="O9" s="52" t="s">
        <v>32</v>
      </c>
      <c r="P9" s="52" t="s">
        <v>28</v>
      </c>
      <c r="Q9" s="52" t="s">
        <v>31</v>
      </c>
      <c r="R9" s="52" t="s">
        <v>31</v>
      </c>
      <c r="S9" s="52" t="s">
        <v>28</v>
      </c>
      <c r="T9" s="52" t="s">
        <v>337</v>
      </c>
      <c r="U9" s="52" t="s">
        <v>31</v>
      </c>
      <c r="V9" s="52" t="s">
        <v>32</v>
      </c>
      <c r="W9" s="52" t="s">
        <v>31</v>
      </c>
      <c r="X9" s="52" t="s">
        <v>32</v>
      </c>
    </row>
    <row r="10" ht="15.75" customHeight="1">
      <c r="A10" s="53">
        <v>5.0</v>
      </c>
      <c r="B10" s="54" t="s">
        <v>116</v>
      </c>
      <c r="C10" s="55" t="s">
        <v>117</v>
      </c>
      <c r="D10" s="56">
        <f t="shared" si="2"/>
        <v>5.5</v>
      </c>
      <c r="E10" s="51" t="s">
        <v>31</v>
      </c>
      <c r="F10" s="52" t="s">
        <v>28</v>
      </c>
      <c r="G10" s="52" t="s">
        <v>28</v>
      </c>
      <c r="H10" s="52" t="s">
        <v>28</v>
      </c>
      <c r="I10" s="52" t="s">
        <v>28</v>
      </c>
      <c r="J10" s="52" t="s">
        <v>31</v>
      </c>
      <c r="K10" s="52" t="s">
        <v>30</v>
      </c>
      <c r="L10" s="52" t="s">
        <v>28</v>
      </c>
      <c r="M10" s="52" t="s">
        <v>32</v>
      </c>
      <c r="N10" s="52" t="s">
        <v>30</v>
      </c>
      <c r="O10" s="52" t="s">
        <v>32</v>
      </c>
      <c r="P10" s="52" t="s">
        <v>28</v>
      </c>
      <c r="Q10" s="52" t="s">
        <v>31</v>
      </c>
      <c r="R10" s="52" t="s">
        <v>30</v>
      </c>
      <c r="S10" s="52" t="s">
        <v>30</v>
      </c>
      <c r="T10" s="52" t="s">
        <v>337</v>
      </c>
      <c r="U10" s="52" t="s">
        <v>31</v>
      </c>
      <c r="V10" s="52" t="s">
        <v>30</v>
      </c>
      <c r="W10" s="52" t="s">
        <v>31</v>
      </c>
      <c r="X10" s="52" t="s">
        <v>32</v>
      </c>
    </row>
    <row r="11" ht="15.75" customHeight="1">
      <c r="A11" s="53">
        <v>6.0</v>
      </c>
      <c r="B11" s="54" t="s">
        <v>118</v>
      </c>
      <c r="C11" s="58" t="s">
        <v>119</v>
      </c>
      <c r="D11" s="56">
        <f t="shared" si="2"/>
        <v>6</v>
      </c>
      <c r="E11" s="51" t="s">
        <v>29</v>
      </c>
      <c r="F11" s="52" t="s">
        <v>28</v>
      </c>
      <c r="G11" s="52" t="s">
        <v>30</v>
      </c>
      <c r="H11" s="52" t="s">
        <v>28</v>
      </c>
      <c r="I11" s="52" t="s">
        <v>32</v>
      </c>
      <c r="J11" s="52" t="s">
        <v>28</v>
      </c>
      <c r="K11" s="52" t="s">
        <v>30</v>
      </c>
      <c r="L11" s="52" t="s">
        <v>28</v>
      </c>
      <c r="M11" s="52" t="s">
        <v>28</v>
      </c>
      <c r="N11" s="52" t="s">
        <v>29</v>
      </c>
      <c r="O11" s="52" t="s">
        <v>28</v>
      </c>
      <c r="P11" s="52" t="s">
        <v>28</v>
      </c>
      <c r="Q11" s="52" t="s">
        <v>31</v>
      </c>
      <c r="R11" s="52" t="s">
        <v>30</v>
      </c>
      <c r="S11" s="52" t="s">
        <v>30</v>
      </c>
      <c r="T11" s="52" t="s">
        <v>337</v>
      </c>
      <c r="U11" s="52" t="s">
        <v>30</v>
      </c>
      <c r="V11" s="52" t="s">
        <v>31</v>
      </c>
      <c r="W11" s="52" t="s">
        <v>32</v>
      </c>
      <c r="X11" s="52" t="s">
        <v>30</v>
      </c>
    </row>
    <row r="12" ht="15.75" customHeight="1">
      <c r="A12" s="53">
        <v>7.0</v>
      </c>
      <c r="B12" s="54" t="s">
        <v>120</v>
      </c>
      <c r="C12" s="55" t="s">
        <v>121</v>
      </c>
      <c r="D12" s="56"/>
      <c r="E12" s="51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 ht="15.75" customHeight="1">
      <c r="A13" s="53">
        <v>8.0</v>
      </c>
      <c r="B13" s="54" t="s">
        <v>122</v>
      </c>
      <c r="C13" s="55" t="s">
        <v>123</v>
      </c>
      <c r="D13" s="56">
        <f t="shared" ref="D13:D17" si="3">B71</f>
        <v>7</v>
      </c>
      <c r="E13" s="51" t="s">
        <v>29</v>
      </c>
      <c r="F13" s="52" t="s">
        <v>28</v>
      </c>
      <c r="G13" s="52" t="s">
        <v>31</v>
      </c>
      <c r="H13" s="52" t="s">
        <v>28</v>
      </c>
      <c r="I13" s="52" t="s">
        <v>32</v>
      </c>
      <c r="J13" s="52" t="s">
        <v>28</v>
      </c>
      <c r="K13" s="52" t="s">
        <v>31</v>
      </c>
      <c r="L13" s="52" t="s">
        <v>31</v>
      </c>
      <c r="M13" s="52" t="s">
        <v>28</v>
      </c>
      <c r="N13" s="52" t="s">
        <v>30</v>
      </c>
      <c r="O13" s="52" t="s">
        <v>32</v>
      </c>
      <c r="P13" s="52" t="s">
        <v>28</v>
      </c>
      <c r="Q13" s="52" t="s">
        <v>31</v>
      </c>
      <c r="R13" s="52" t="s">
        <v>31</v>
      </c>
      <c r="S13" s="52" t="s">
        <v>29</v>
      </c>
      <c r="T13" s="52" t="s">
        <v>337</v>
      </c>
      <c r="U13" s="52" t="s">
        <v>31</v>
      </c>
      <c r="V13" s="52" t="s">
        <v>32</v>
      </c>
      <c r="W13" s="52" t="s">
        <v>31</v>
      </c>
      <c r="X13" s="52" t="s">
        <v>28</v>
      </c>
    </row>
    <row r="14" ht="15.75" customHeight="1">
      <c r="A14" s="53">
        <v>9.0</v>
      </c>
      <c r="B14" s="54" t="s">
        <v>124</v>
      </c>
      <c r="C14" s="55" t="s">
        <v>125</v>
      </c>
      <c r="D14" s="56">
        <f t="shared" si="3"/>
        <v>9.5</v>
      </c>
      <c r="E14" s="51" t="s">
        <v>29</v>
      </c>
      <c r="F14" s="52" t="s">
        <v>28</v>
      </c>
      <c r="G14" s="52" t="s">
        <v>30</v>
      </c>
      <c r="H14" s="52" t="s">
        <v>28</v>
      </c>
      <c r="I14" s="52" t="s">
        <v>28</v>
      </c>
      <c r="J14" s="52" t="s">
        <v>28</v>
      </c>
      <c r="K14" s="52" t="s">
        <v>31</v>
      </c>
      <c r="L14" s="52" t="s">
        <v>31</v>
      </c>
      <c r="M14" s="52" t="s">
        <v>28</v>
      </c>
      <c r="N14" s="52" t="s">
        <v>30</v>
      </c>
      <c r="O14" s="52" t="s">
        <v>32</v>
      </c>
      <c r="P14" s="52" t="s">
        <v>28</v>
      </c>
      <c r="Q14" s="52" t="s">
        <v>31</v>
      </c>
      <c r="R14" s="52" t="s">
        <v>31</v>
      </c>
      <c r="S14" s="52" t="s">
        <v>30</v>
      </c>
      <c r="T14" s="52" t="s">
        <v>337</v>
      </c>
      <c r="U14" s="52" t="s">
        <v>31</v>
      </c>
      <c r="V14" s="52" t="s">
        <v>31</v>
      </c>
      <c r="W14" s="52" t="s">
        <v>31</v>
      </c>
      <c r="X14" s="52" t="s">
        <v>30</v>
      </c>
    </row>
    <row r="15" ht="15.75" customHeight="1">
      <c r="A15" s="53">
        <v>10.0</v>
      </c>
      <c r="B15" s="54" t="s">
        <v>126</v>
      </c>
      <c r="C15" s="55" t="s">
        <v>127</v>
      </c>
      <c r="D15" s="56">
        <f t="shared" si="3"/>
        <v>4.5</v>
      </c>
      <c r="E15" s="51" t="s">
        <v>28</v>
      </c>
      <c r="F15" s="52" t="s">
        <v>28</v>
      </c>
      <c r="G15" s="52" t="s">
        <v>29</v>
      </c>
      <c r="H15" s="52" t="s">
        <v>28</v>
      </c>
      <c r="I15" s="52" t="s">
        <v>28</v>
      </c>
      <c r="J15" s="52" t="s">
        <v>31</v>
      </c>
      <c r="K15" s="52" t="s">
        <v>30</v>
      </c>
      <c r="L15" s="52" t="s">
        <v>28</v>
      </c>
      <c r="M15" s="52" t="s">
        <v>30</v>
      </c>
      <c r="N15" s="52" t="s">
        <v>30</v>
      </c>
      <c r="O15" s="52" t="s">
        <v>32</v>
      </c>
      <c r="P15" s="52" t="s">
        <v>28</v>
      </c>
      <c r="Q15" s="52" t="s">
        <v>31</v>
      </c>
      <c r="R15" s="52" t="s">
        <v>28</v>
      </c>
      <c r="S15" s="52" t="s">
        <v>29</v>
      </c>
      <c r="T15" s="52" t="s">
        <v>337</v>
      </c>
      <c r="U15" s="52" t="s">
        <v>31</v>
      </c>
      <c r="V15" s="52" t="s">
        <v>28</v>
      </c>
      <c r="W15" s="52" t="s">
        <v>32</v>
      </c>
      <c r="X15" s="52" t="s">
        <v>32</v>
      </c>
    </row>
    <row r="16" ht="15.75" customHeight="1">
      <c r="A16" s="53">
        <v>11.0</v>
      </c>
      <c r="B16" s="54" t="s">
        <v>128</v>
      </c>
      <c r="C16" s="55" t="s">
        <v>129</v>
      </c>
      <c r="D16" s="56">
        <f t="shared" si="3"/>
        <v>8</v>
      </c>
      <c r="E16" s="51" t="s">
        <v>29</v>
      </c>
      <c r="F16" s="52" t="s">
        <v>28</v>
      </c>
      <c r="G16" s="52" t="s">
        <v>30</v>
      </c>
      <c r="H16" s="52" t="s">
        <v>28</v>
      </c>
      <c r="I16" s="52" t="s">
        <v>28</v>
      </c>
      <c r="J16" s="52" t="s">
        <v>29</v>
      </c>
      <c r="K16" s="52" t="s">
        <v>31</v>
      </c>
      <c r="L16" s="52" t="s">
        <v>31</v>
      </c>
      <c r="M16" s="52" t="s">
        <v>28</v>
      </c>
      <c r="N16" s="52" t="s">
        <v>30</v>
      </c>
      <c r="O16" s="52" t="s">
        <v>32</v>
      </c>
      <c r="P16" s="52" t="s">
        <v>28</v>
      </c>
      <c r="Q16" s="52" t="s">
        <v>31</v>
      </c>
      <c r="R16" s="52" t="s">
        <v>31</v>
      </c>
      <c r="S16" s="52" t="s">
        <v>30</v>
      </c>
      <c r="T16" s="52" t="s">
        <v>337</v>
      </c>
      <c r="U16" s="52" t="s">
        <v>31</v>
      </c>
      <c r="V16" s="52" t="s">
        <v>28</v>
      </c>
      <c r="W16" s="52" t="s">
        <v>31</v>
      </c>
      <c r="X16" s="52" t="s">
        <v>28</v>
      </c>
    </row>
    <row r="17" ht="15.75" customHeight="1">
      <c r="A17" s="53">
        <v>12.0</v>
      </c>
      <c r="B17" s="54" t="s">
        <v>130</v>
      </c>
      <c r="C17" s="57" t="s">
        <v>131</v>
      </c>
      <c r="D17" s="56">
        <f t="shared" si="3"/>
        <v>5</v>
      </c>
      <c r="E17" s="51" t="s">
        <v>29</v>
      </c>
      <c r="F17" s="52" t="s">
        <v>31</v>
      </c>
      <c r="G17" s="52" t="s">
        <v>30</v>
      </c>
      <c r="H17" s="52" t="s">
        <v>30</v>
      </c>
      <c r="I17" s="52" t="s">
        <v>32</v>
      </c>
      <c r="J17" s="52" t="s">
        <v>28</v>
      </c>
      <c r="K17" s="52" t="s">
        <v>31</v>
      </c>
      <c r="L17" s="52" t="s">
        <v>28</v>
      </c>
      <c r="M17" s="52" t="s">
        <v>28</v>
      </c>
      <c r="N17" s="52" t="s">
        <v>31</v>
      </c>
      <c r="O17" s="52" t="s">
        <v>32</v>
      </c>
      <c r="P17" s="52" t="s">
        <v>28</v>
      </c>
      <c r="Q17" s="52" t="s">
        <v>29</v>
      </c>
      <c r="R17" s="52" t="s">
        <v>31</v>
      </c>
      <c r="S17" s="52" t="s">
        <v>31</v>
      </c>
      <c r="T17" s="52" t="s">
        <v>337</v>
      </c>
      <c r="U17" s="52" t="s">
        <v>31</v>
      </c>
      <c r="V17" s="52" t="s">
        <v>28</v>
      </c>
      <c r="W17" s="52" t="s">
        <v>29</v>
      </c>
      <c r="X17" s="52" t="s">
        <v>30</v>
      </c>
    </row>
    <row r="18" ht="15.75" customHeight="1">
      <c r="A18" s="53">
        <v>13.0</v>
      </c>
      <c r="B18" s="54" t="s">
        <v>132</v>
      </c>
      <c r="C18" s="55" t="s">
        <v>133</v>
      </c>
      <c r="D18" s="56"/>
      <c r="E18" s="51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ht="15.75" customHeight="1">
      <c r="A19" s="53">
        <v>14.0</v>
      </c>
      <c r="B19" s="54" t="s">
        <v>134</v>
      </c>
      <c r="C19" s="57" t="s">
        <v>135</v>
      </c>
      <c r="D19" s="56">
        <f t="shared" ref="D19:D26" si="4">B77</f>
        <v>4</v>
      </c>
      <c r="E19" s="51" t="s">
        <v>30</v>
      </c>
      <c r="F19" s="52" t="s">
        <v>28</v>
      </c>
      <c r="G19" s="52" t="s">
        <v>30</v>
      </c>
      <c r="H19" s="52" t="s">
        <v>29</v>
      </c>
      <c r="I19" s="52" t="s">
        <v>32</v>
      </c>
      <c r="J19" s="52" t="s">
        <v>30</v>
      </c>
      <c r="K19" s="52" t="s">
        <v>31</v>
      </c>
      <c r="L19" s="52" t="s">
        <v>30</v>
      </c>
      <c r="M19" s="52" t="s">
        <v>32</v>
      </c>
      <c r="N19" s="52" t="s">
        <v>28</v>
      </c>
      <c r="O19" s="52" t="s">
        <v>28</v>
      </c>
      <c r="P19" s="52" t="s">
        <v>28</v>
      </c>
      <c r="Q19" s="52" t="s">
        <v>31</v>
      </c>
      <c r="R19" s="52" t="s">
        <v>32</v>
      </c>
      <c r="S19" s="52" t="s">
        <v>31</v>
      </c>
      <c r="T19" s="52" t="s">
        <v>337</v>
      </c>
      <c r="U19" s="52" t="s">
        <v>31</v>
      </c>
      <c r="V19" s="52" t="s">
        <v>28</v>
      </c>
      <c r="W19" s="52" t="s">
        <v>32</v>
      </c>
      <c r="X19" s="52" t="s">
        <v>32</v>
      </c>
    </row>
    <row r="20" ht="15.75" customHeight="1">
      <c r="A20" s="53">
        <v>15.0</v>
      </c>
      <c r="B20" s="54" t="s">
        <v>136</v>
      </c>
      <c r="C20" s="55" t="s">
        <v>137</v>
      </c>
      <c r="D20" s="56">
        <f t="shared" si="4"/>
        <v>4.5</v>
      </c>
      <c r="E20" s="51" t="s">
        <v>30</v>
      </c>
      <c r="F20" s="52" t="s">
        <v>28</v>
      </c>
      <c r="G20" s="52" t="s">
        <v>31</v>
      </c>
      <c r="H20" s="52" t="s">
        <v>28</v>
      </c>
      <c r="I20" s="52" t="s">
        <v>32</v>
      </c>
      <c r="J20" s="52" t="s">
        <v>29</v>
      </c>
      <c r="K20" s="52" t="s">
        <v>28</v>
      </c>
      <c r="L20" s="52" t="s">
        <v>30</v>
      </c>
      <c r="M20" s="52" t="s">
        <v>29</v>
      </c>
      <c r="N20" s="52" t="s">
        <v>28</v>
      </c>
      <c r="O20" s="52" t="s">
        <v>32</v>
      </c>
      <c r="P20" s="52" t="s">
        <v>28</v>
      </c>
      <c r="Q20" s="52" t="s">
        <v>31</v>
      </c>
      <c r="R20" s="52" t="s">
        <v>31</v>
      </c>
      <c r="S20" s="52" t="s">
        <v>30</v>
      </c>
      <c r="T20" s="52" t="s">
        <v>337</v>
      </c>
      <c r="U20" s="52" t="s">
        <v>31</v>
      </c>
      <c r="V20" s="52" t="s">
        <v>28</v>
      </c>
      <c r="W20" s="52" t="s">
        <v>31</v>
      </c>
      <c r="X20" s="52" t="s">
        <v>28</v>
      </c>
    </row>
    <row r="21" ht="15.75" customHeight="1">
      <c r="A21" s="53">
        <v>16.0</v>
      </c>
      <c r="B21" s="54" t="s">
        <v>138</v>
      </c>
      <c r="C21" s="55" t="s">
        <v>139</v>
      </c>
      <c r="D21" s="56">
        <f t="shared" si="4"/>
        <v>2.5</v>
      </c>
      <c r="E21" s="51" t="s">
        <v>31</v>
      </c>
      <c r="F21" s="52" t="s">
        <v>30</v>
      </c>
      <c r="G21" s="52" t="s">
        <v>32</v>
      </c>
      <c r="H21" s="52" t="s">
        <v>28</v>
      </c>
      <c r="I21" s="52" t="s">
        <v>28</v>
      </c>
      <c r="J21" s="52" t="s">
        <v>30</v>
      </c>
      <c r="K21" s="52" t="s">
        <v>31</v>
      </c>
      <c r="L21" s="52" t="s">
        <v>30</v>
      </c>
      <c r="M21" s="52" t="s">
        <v>31</v>
      </c>
      <c r="N21" s="52" t="s">
        <v>29</v>
      </c>
      <c r="O21" s="52" t="s">
        <v>28</v>
      </c>
      <c r="P21" s="52" t="s">
        <v>32</v>
      </c>
      <c r="Q21" s="52" t="s">
        <v>28</v>
      </c>
      <c r="R21" s="52" t="s">
        <v>30</v>
      </c>
      <c r="S21" s="52" t="s">
        <v>32</v>
      </c>
      <c r="T21" s="52" t="s">
        <v>337</v>
      </c>
      <c r="U21" s="52" t="s">
        <v>30</v>
      </c>
      <c r="V21" s="52" t="s">
        <v>31</v>
      </c>
      <c r="W21" s="52" t="s">
        <v>29</v>
      </c>
      <c r="X21" s="52" t="s">
        <v>29</v>
      </c>
    </row>
    <row r="22" ht="15.75" customHeight="1">
      <c r="A22" s="53">
        <v>17.0</v>
      </c>
      <c r="B22" s="54" t="s">
        <v>140</v>
      </c>
      <c r="C22" s="55" t="s">
        <v>141</v>
      </c>
      <c r="D22" s="56">
        <f t="shared" si="4"/>
        <v>7.5</v>
      </c>
      <c r="E22" s="51" t="s">
        <v>29</v>
      </c>
      <c r="F22" s="52" t="s">
        <v>28</v>
      </c>
      <c r="G22" s="52" t="s">
        <v>32</v>
      </c>
      <c r="H22" s="52" t="s">
        <v>28</v>
      </c>
      <c r="I22" s="52" t="s">
        <v>32</v>
      </c>
      <c r="J22" s="52" t="s">
        <v>28</v>
      </c>
      <c r="K22" s="52" t="s">
        <v>31</v>
      </c>
      <c r="L22" s="52" t="s">
        <v>31</v>
      </c>
      <c r="M22" s="52" t="s">
        <v>28</v>
      </c>
      <c r="N22" s="52" t="s">
        <v>30</v>
      </c>
      <c r="O22" s="52" t="s">
        <v>32</v>
      </c>
      <c r="P22" s="52" t="s">
        <v>28</v>
      </c>
      <c r="Q22" s="52" t="s">
        <v>31</v>
      </c>
      <c r="R22" s="52" t="s">
        <v>30</v>
      </c>
      <c r="S22" s="52" t="s">
        <v>30</v>
      </c>
      <c r="T22" s="52" t="s">
        <v>337</v>
      </c>
      <c r="U22" s="52" t="s">
        <v>31</v>
      </c>
      <c r="V22" s="52" t="s">
        <v>32</v>
      </c>
      <c r="W22" s="52" t="s">
        <v>31</v>
      </c>
      <c r="X22" s="52" t="s">
        <v>32</v>
      </c>
    </row>
    <row r="23" ht="15.75" customHeight="1">
      <c r="A23" s="53">
        <v>18.0</v>
      </c>
      <c r="B23" s="54" t="s">
        <v>142</v>
      </c>
      <c r="C23" s="55" t="s">
        <v>143</v>
      </c>
      <c r="D23" s="56">
        <f t="shared" si="4"/>
        <v>7</v>
      </c>
      <c r="E23" s="51" t="s">
        <v>29</v>
      </c>
      <c r="F23" s="52" t="s">
        <v>28</v>
      </c>
      <c r="G23" s="52" t="s">
        <v>30</v>
      </c>
      <c r="H23" s="52" t="s">
        <v>28</v>
      </c>
      <c r="I23" s="52" t="s">
        <v>28</v>
      </c>
      <c r="J23" s="52" t="s">
        <v>29</v>
      </c>
      <c r="K23" s="52" t="s">
        <v>31</v>
      </c>
      <c r="L23" s="52" t="s">
        <v>28</v>
      </c>
      <c r="M23" s="52" t="s">
        <v>30</v>
      </c>
      <c r="N23" s="52" t="s">
        <v>30</v>
      </c>
      <c r="O23" s="52" t="s">
        <v>32</v>
      </c>
      <c r="P23" s="52" t="s">
        <v>28</v>
      </c>
      <c r="Q23" s="52" t="s">
        <v>31</v>
      </c>
      <c r="R23" s="52" t="s">
        <v>31</v>
      </c>
      <c r="S23" s="52" t="s">
        <v>30</v>
      </c>
      <c r="T23" s="52" t="s">
        <v>337</v>
      </c>
      <c r="U23" s="52" t="s">
        <v>31</v>
      </c>
      <c r="V23" s="52" t="s">
        <v>32</v>
      </c>
      <c r="W23" s="52" t="s">
        <v>31</v>
      </c>
      <c r="X23" s="52" t="s">
        <v>32</v>
      </c>
    </row>
    <row r="24" ht="15.75" customHeight="1">
      <c r="A24" s="53">
        <v>19.0</v>
      </c>
      <c r="B24" s="54" t="s">
        <v>144</v>
      </c>
      <c r="C24" s="55" t="s">
        <v>145</v>
      </c>
      <c r="D24" s="56">
        <f t="shared" si="4"/>
        <v>4</v>
      </c>
      <c r="E24" s="51" t="s">
        <v>28</v>
      </c>
      <c r="F24" s="52" t="s">
        <v>29</v>
      </c>
      <c r="G24" s="52" t="s">
        <v>32</v>
      </c>
      <c r="H24" s="52" t="s">
        <v>28</v>
      </c>
      <c r="I24" s="52" t="s">
        <v>32</v>
      </c>
      <c r="J24" s="52" t="s">
        <v>30</v>
      </c>
      <c r="K24" s="52" t="s">
        <v>28</v>
      </c>
      <c r="L24" s="52" t="s">
        <v>31</v>
      </c>
      <c r="M24" s="52" t="s">
        <v>28</v>
      </c>
      <c r="N24" s="52" t="s">
        <v>29</v>
      </c>
      <c r="O24" s="52" t="s">
        <v>32</v>
      </c>
      <c r="P24" s="52" t="s">
        <v>28</v>
      </c>
      <c r="Q24" s="52" t="s">
        <v>30</v>
      </c>
      <c r="R24" s="52" t="s">
        <v>31</v>
      </c>
      <c r="S24" s="52" t="s">
        <v>29</v>
      </c>
      <c r="T24" s="52" t="s">
        <v>337</v>
      </c>
      <c r="U24" s="52" t="s">
        <v>31</v>
      </c>
      <c r="V24" s="52" t="s">
        <v>28</v>
      </c>
      <c r="W24" s="52" t="s">
        <v>29</v>
      </c>
      <c r="X24" s="52" t="s">
        <v>30</v>
      </c>
    </row>
    <row r="25" ht="15.75" customHeight="1">
      <c r="A25" s="53">
        <v>20.0</v>
      </c>
      <c r="B25" s="54" t="s">
        <v>146</v>
      </c>
      <c r="C25" s="55" t="s">
        <v>147</v>
      </c>
      <c r="D25" s="56">
        <f t="shared" si="4"/>
        <v>4.5</v>
      </c>
      <c r="E25" s="51" t="s">
        <v>30</v>
      </c>
      <c r="F25" s="52" t="s">
        <v>28</v>
      </c>
      <c r="G25" s="52" t="s">
        <v>29</v>
      </c>
      <c r="H25" s="52" t="s">
        <v>28</v>
      </c>
      <c r="I25" s="52" t="s">
        <v>32</v>
      </c>
      <c r="J25" s="52" t="s">
        <v>29</v>
      </c>
      <c r="K25" s="52" t="s">
        <v>30</v>
      </c>
      <c r="L25" s="52" t="s">
        <v>31</v>
      </c>
      <c r="M25" s="52" t="s">
        <v>30</v>
      </c>
      <c r="N25" s="52" t="s">
        <v>28</v>
      </c>
      <c r="O25" s="52" t="s">
        <v>32</v>
      </c>
      <c r="P25" s="52" t="s">
        <v>28</v>
      </c>
      <c r="Q25" s="52" t="s">
        <v>31</v>
      </c>
      <c r="R25" s="52" t="s">
        <v>32</v>
      </c>
      <c r="S25" s="52" t="s">
        <v>31</v>
      </c>
      <c r="T25" s="52" t="s">
        <v>337</v>
      </c>
      <c r="U25" s="52" t="s">
        <v>31</v>
      </c>
      <c r="V25" s="52" t="s">
        <v>28</v>
      </c>
      <c r="W25" s="52" t="s">
        <v>28</v>
      </c>
      <c r="X25" s="52" t="s">
        <v>28</v>
      </c>
    </row>
    <row r="26" ht="15.75" customHeight="1">
      <c r="A26" s="53">
        <v>21.0</v>
      </c>
      <c r="B26" s="54" t="s">
        <v>148</v>
      </c>
      <c r="C26" s="57" t="s">
        <v>149</v>
      </c>
      <c r="D26" s="56">
        <f t="shared" si="4"/>
        <v>5.5</v>
      </c>
      <c r="E26" s="51" t="s">
        <v>28</v>
      </c>
      <c r="F26" s="52" t="s">
        <v>28</v>
      </c>
      <c r="G26" s="52" t="s">
        <v>31</v>
      </c>
      <c r="H26" s="52" t="s">
        <v>28</v>
      </c>
      <c r="I26" s="52" t="s">
        <v>28</v>
      </c>
      <c r="J26" s="52" t="s">
        <v>31</v>
      </c>
      <c r="K26" s="52" t="s">
        <v>32</v>
      </c>
      <c r="L26" s="52" t="s">
        <v>31</v>
      </c>
      <c r="M26" s="52" t="s">
        <v>28</v>
      </c>
      <c r="N26" s="52" t="s">
        <v>30</v>
      </c>
      <c r="O26" s="52" t="s">
        <v>28</v>
      </c>
      <c r="P26" s="52" t="s">
        <v>28</v>
      </c>
      <c r="Q26" s="52" t="s">
        <v>31</v>
      </c>
      <c r="R26" s="52" t="s">
        <v>31</v>
      </c>
      <c r="S26" s="52" t="s">
        <v>29</v>
      </c>
      <c r="T26" s="52" t="s">
        <v>337</v>
      </c>
      <c r="U26" s="52" t="s">
        <v>31</v>
      </c>
      <c r="V26" s="52" t="s">
        <v>30</v>
      </c>
      <c r="W26" s="52" t="s">
        <v>29</v>
      </c>
      <c r="X26" s="52" t="s">
        <v>30</v>
      </c>
    </row>
    <row r="27" ht="15.75" customHeight="1">
      <c r="A27" s="53">
        <v>22.0</v>
      </c>
      <c r="B27" s="54" t="s">
        <v>150</v>
      </c>
      <c r="C27" s="55" t="s">
        <v>151</v>
      </c>
      <c r="D27" s="56"/>
      <c r="E27" s="5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ht="15.75" customHeight="1">
      <c r="A28" s="53">
        <v>23.0</v>
      </c>
      <c r="B28" s="54" t="s">
        <v>152</v>
      </c>
      <c r="C28" s="55" t="s">
        <v>153</v>
      </c>
      <c r="D28" s="56">
        <f t="shared" ref="D28:D44" si="5">B86</f>
        <v>4.5</v>
      </c>
      <c r="E28" s="51" t="s">
        <v>31</v>
      </c>
      <c r="F28" s="52" t="s">
        <v>28</v>
      </c>
      <c r="G28" s="52" t="s">
        <v>28</v>
      </c>
      <c r="H28" s="52" t="s">
        <v>28</v>
      </c>
      <c r="I28" s="52" t="s">
        <v>32</v>
      </c>
      <c r="J28" s="52" t="s">
        <v>32</v>
      </c>
      <c r="K28" s="52" t="s">
        <v>29</v>
      </c>
      <c r="L28" s="52" t="s">
        <v>28</v>
      </c>
      <c r="M28" s="52" t="s">
        <v>28</v>
      </c>
      <c r="N28" s="52" t="s">
        <v>29</v>
      </c>
      <c r="O28" s="52" t="s">
        <v>32</v>
      </c>
      <c r="P28" s="52" t="s">
        <v>28</v>
      </c>
      <c r="Q28" s="52" t="s">
        <v>31</v>
      </c>
      <c r="R28" s="52" t="s">
        <v>28</v>
      </c>
      <c r="S28" s="52" t="s">
        <v>30</v>
      </c>
      <c r="T28" s="52" t="s">
        <v>337</v>
      </c>
      <c r="U28" s="52" t="s">
        <v>31</v>
      </c>
      <c r="V28" s="52" t="s">
        <v>32</v>
      </c>
      <c r="W28" s="52" t="s">
        <v>28</v>
      </c>
      <c r="X28" s="52" t="s">
        <v>28</v>
      </c>
    </row>
    <row r="29" ht="15.75" customHeight="1">
      <c r="A29" s="53">
        <v>24.0</v>
      </c>
      <c r="B29" s="54" t="s">
        <v>154</v>
      </c>
      <c r="C29" s="55" t="s">
        <v>155</v>
      </c>
      <c r="D29" s="56">
        <f t="shared" si="5"/>
        <v>3.5</v>
      </c>
      <c r="E29" s="51" t="s">
        <v>30</v>
      </c>
      <c r="F29" s="52" t="s">
        <v>29</v>
      </c>
      <c r="G29" s="52" t="s">
        <v>29</v>
      </c>
      <c r="H29" s="52" t="s">
        <v>28</v>
      </c>
      <c r="I29" s="52" t="s">
        <v>28</v>
      </c>
      <c r="J29" s="52" t="s">
        <v>30</v>
      </c>
      <c r="K29" s="52" t="s">
        <v>30</v>
      </c>
      <c r="L29" s="52" t="s">
        <v>30</v>
      </c>
      <c r="M29" s="52" t="s">
        <v>28</v>
      </c>
      <c r="N29" s="52" t="s">
        <v>30</v>
      </c>
      <c r="O29" s="52" t="s">
        <v>28</v>
      </c>
      <c r="P29" s="52" t="s">
        <v>28</v>
      </c>
      <c r="Q29" s="52" t="s">
        <v>31</v>
      </c>
      <c r="R29" s="52" t="s">
        <v>28</v>
      </c>
      <c r="S29" s="52" t="s">
        <v>29</v>
      </c>
      <c r="T29" s="52" t="s">
        <v>337</v>
      </c>
      <c r="U29" s="52" t="s">
        <v>32</v>
      </c>
      <c r="V29" s="52" t="s">
        <v>32</v>
      </c>
      <c r="W29" s="52" t="s">
        <v>32</v>
      </c>
      <c r="X29" s="52" t="s">
        <v>28</v>
      </c>
    </row>
    <row r="30" ht="15.75" customHeight="1">
      <c r="A30" s="53">
        <v>25.0</v>
      </c>
      <c r="B30" s="54" t="s">
        <v>156</v>
      </c>
      <c r="C30" s="55" t="s">
        <v>157</v>
      </c>
      <c r="D30" s="56">
        <f t="shared" si="5"/>
        <v>7</v>
      </c>
      <c r="E30" s="51" t="s">
        <v>29</v>
      </c>
      <c r="F30" s="52" t="s">
        <v>28</v>
      </c>
      <c r="G30" s="52" t="s">
        <v>30</v>
      </c>
      <c r="H30" s="52" t="s">
        <v>28</v>
      </c>
      <c r="I30" s="52" t="s">
        <v>28</v>
      </c>
      <c r="J30" s="52" t="s">
        <v>30</v>
      </c>
      <c r="K30" s="52" t="s">
        <v>32</v>
      </c>
      <c r="L30" s="52" t="s">
        <v>28</v>
      </c>
      <c r="M30" s="52" t="s">
        <v>28</v>
      </c>
      <c r="N30" s="52" t="s">
        <v>30</v>
      </c>
      <c r="O30" s="52" t="s">
        <v>32</v>
      </c>
      <c r="P30" s="52" t="s">
        <v>28</v>
      </c>
      <c r="Q30" s="52" t="s">
        <v>31</v>
      </c>
      <c r="R30" s="52" t="s">
        <v>31</v>
      </c>
      <c r="S30" s="52" t="s">
        <v>30</v>
      </c>
      <c r="T30" s="52" t="s">
        <v>337</v>
      </c>
      <c r="U30" s="52" t="s">
        <v>31</v>
      </c>
      <c r="V30" s="52" t="s">
        <v>28</v>
      </c>
      <c r="W30" s="52" t="s">
        <v>31</v>
      </c>
      <c r="X30" s="52" t="s">
        <v>28</v>
      </c>
    </row>
    <row r="31" ht="15.75" customHeight="1">
      <c r="A31" s="53">
        <v>26.0</v>
      </c>
      <c r="B31" s="54" t="s">
        <v>158</v>
      </c>
      <c r="C31" s="55" t="s">
        <v>159</v>
      </c>
      <c r="D31" s="56">
        <f t="shared" si="5"/>
        <v>5.5</v>
      </c>
      <c r="E31" s="51" t="s">
        <v>29</v>
      </c>
      <c r="F31" s="52" t="s">
        <v>28</v>
      </c>
      <c r="G31" s="52" t="s">
        <v>32</v>
      </c>
      <c r="H31" s="52" t="s">
        <v>28</v>
      </c>
      <c r="I31" s="52" t="s">
        <v>28</v>
      </c>
      <c r="J31" s="52" t="s">
        <v>28</v>
      </c>
      <c r="K31" s="52" t="s">
        <v>32</v>
      </c>
      <c r="L31" s="52" t="s">
        <v>28</v>
      </c>
      <c r="M31" s="52" t="s">
        <v>31</v>
      </c>
      <c r="N31" s="52" t="s">
        <v>30</v>
      </c>
      <c r="O31" s="52" t="s">
        <v>29</v>
      </c>
      <c r="P31" s="52" t="s">
        <v>28</v>
      </c>
      <c r="Q31" s="52" t="s">
        <v>31</v>
      </c>
      <c r="R31" s="52" t="s">
        <v>30</v>
      </c>
      <c r="S31" s="52" t="s">
        <v>31</v>
      </c>
      <c r="T31" s="52" t="s">
        <v>337</v>
      </c>
      <c r="U31" s="52" t="s">
        <v>31</v>
      </c>
      <c r="V31" s="52" t="s">
        <v>31</v>
      </c>
      <c r="W31" s="52" t="s">
        <v>32</v>
      </c>
      <c r="X31" s="52" t="s">
        <v>31</v>
      </c>
    </row>
    <row r="32" ht="15.75" customHeight="1">
      <c r="A32" s="53">
        <v>27.0</v>
      </c>
      <c r="B32" s="54" t="s">
        <v>160</v>
      </c>
      <c r="C32" s="55" t="s">
        <v>161</v>
      </c>
      <c r="D32" s="56">
        <f t="shared" si="5"/>
        <v>4</v>
      </c>
      <c r="E32" s="51" t="s">
        <v>30</v>
      </c>
      <c r="F32" s="52" t="s">
        <v>28</v>
      </c>
      <c r="G32" s="52" t="s">
        <v>29</v>
      </c>
      <c r="H32" s="52" t="s">
        <v>28</v>
      </c>
      <c r="I32" s="52" t="s">
        <v>32</v>
      </c>
      <c r="J32" s="52" t="s">
        <v>29</v>
      </c>
      <c r="K32" s="52" t="s">
        <v>28</v>
      </c>
      <c r="L32" s="52" t="s">
        <v>30</v>
      </c>
      <c r="M32" s="52" t="s">
        <v>31</v>
      </c>
      <c r="N32" s="52" t="s">
        <v>29</v>
      </c>
      <c r="O32" s="52" t="s">
        <v>32</v>
      </c>
      <c r="P32" s="52" t="s">
        <v>28</v>
      </c>
      <c r="Q32" s="52" t="s">
        <v>31</v>
      </c>
      <c r="R32" s="52" t="s">
        <v>29</v>
      </c>
      <c r="S32" s="52" t="s">
        <v>31</v>
      </c>
      <c r="T32" s="52" t="s">
        <v>337</v>
      </c>
      <c r="U32" s="52" t="s">
        <v>31</v>
      </c>
      <c r="V32" s="52" t="s">
        <v>30</v>
      </c>
      <c r="W32" s="52" t="s">
        <v>31</v>
      </c>
      <c r="X32" s="52" t="s">
        <v>28</v>
      </c>
    </row>
    <row r="33" ht="15.75" customHeight="1">
      <c r="A33" s="53">
        <v>28.0</v>
      </c>
      <c r="B33" s="54" t="s">
        <v>162</v>
      </c>
      <c r="C33" s="55" t="s">
        <v>163</v>
      </c>
      <c r="D33" s="56">
        <f t="shared" si="5"/>
        <v>4</v>
      </c>
      <c r="E33" s="51" t="s">
        <v>30</v>
      </c>
      <c r="F33" s="52" t="s">
        <v>28</v>
      </c>
      <c r="G33" s="52" t="s">
        <v>32</v>
      </c>
      <c r="H33" s="52" t="s">
        <v>28</v>
      </c>
      <c r="I33" s="52" t="s">
        <v>32</v>
      </c>
      <c r="J33" s="52" t="s">
        <v>28</v>
      </c>
      <c r="K33" s="52" t="s">
        <v>29</v>
      </c>
      <c r="L33" s="52" t="s">
        <v>28</v>
      </c>
      <c r="M33" s="52" t="s">
        <v>30</v>
      </c>
      <c r="N33" s="52" t="s">
        <v>31</v>
      </c>
      <c r="O33" s="52" t="s">
        <v>30</v>
      </c>
      <c r="P33" s="52" t="s">
        <v>28</v>
      </c>
      <c r="Q33" s="52" t="s">
        <v>31</v>
      </c>
      <c r="R33" s="52" t="s">
        <v>30</v>
      </c>
      <c r="S33" s="52" t="s">
        <v>31</v>
      </c>
      <c r="T33" s="52" t="s">
        <v>337</v>
      </c>
      <c r="U33" s="52" t="s">
        <v>31</v>
      </c>
      <c r="V33" s="52" t="s">
        <v>29</v>
      </c>
      <c r="W33" s="52" t="s">
        <v>32</v>
      </c>
      <c r="X33" s="52" t="s">
        <v>30</v>
      </c>
    </row>
    <row r="34" ht="15.75" customHeight="1">
      <c r="A34" s="53">
        <v>29.0</v>
      </c>
      <c r="B34" s="54" t="s">
        <v>164</v>
      </c>
      <c r="C34" s="55" t="s">
        <v>165</v>
      </c>
      <c r="D34" s="56">
        <f t="shared" si="5"/>
        <v>6.5</v>
      </c>
      <c r="E34" s="51" t="s">
        <v>29</v>
      </c>
      <c r="F34" s="52" t="s">
        <v>28</v>
      </c>
      <c r="G34" s="52" t="s">
        <v>30</v>
      </c>
      <c r="H34" s="52" t="s">
        <v>28</v>
      </c>
      <c r="I34" s="52" t="s">
        <v>28</v>
      </c>
      <c r="J34" s="52" t="s">
        <v>28</v>
      </c>
      <c r="K34" s="52" t="s">
        <v>32</v>
      </c>
      <c r="L34" s="52" t="s">
        <v>31</v>
      </c>
      <c r="M34" s="52" t="s">
        <v>30</v>
      </c>
      <c r="N34" s="52" t="s">
        <v>30</v>
      </c>
      <c r="O34" s="52" t="s">
        <v>32</v>
      </c>
      <c r="P34" s="52" t="s">
        <v>28</v>
      </c>
      <c r="Q34" s="52" t="s">
        <v>31</v>
      </c>
      <c r="R34" s="52" t="s">
        <v>31</v>
      </c>
      <c r="S34" s="52" t="s">
        <v>29</v>
      </c>
      <c r="T34" s="52" t="s">
        <v>337</v>
      </c>
      <c r="U34" s="52" t="s">
        <v>31</v>
      </c>
      <c r="V34" s="52" t="s">
        <v>32</v>
      </c>
      <c r="W34" s="52" t="s">
        <v>29</v>
      </c>
      <c r="X34" s="52" t="s">
        <v>32</v>
      </c>
    </row>
    <row r="35" ht="15.75" customHeight="1">
      <c r="A35" s="53">
        <v>30.0</v>
      </c>
      <c r="B35" s="54" t="s">
        <v>166</v>
      </c>
      <c r="C35" s="55" t="s">
        <v>167</v>
      </c>
      <c r="D35" s="56">
        <f t="shared" si="5"/>
        <v>3</v>
      </c>
      <c r="E35" s="51" t="s">
        <v>28</v>
      </c>
      <c r="F35" s="52" t="s">
        <v>29</v>
      </c>
      <c r="G35" s="52" t="s">
        <v>31</v>
      </c>
      <c r="H35" s="52" t="s">
        <v>28</v>
      </c>
      <c r="I35" s="52" t="s">
        <v>32</v>
      </c>
      <c r="J35" s="52" t="s">
        <v>31</v>
      </c>
      <c r="K35" s="52" t="s">
        <v>29</v>
      </c>
      <c r="L35" s="52" t="s">
        <v>31</v>
      </c>
      <c r="M35" s="52" t="s">
        <v>30</v>
      </c>
      <c r="N35" s="52" t="s">
        <v>28</v>
      </c>
      <c r="O35" s="52" t="s">
        <v>31</v>
      </c>
      <c r="P35" s="52" t="s">
        <v>28</v>
      </c>
      <c r="Q35" s="52" t="s">
        <v>31</v>
      </c>
      <c r="R35" s="52" t="s">
        <v>31</v>
      </c>
      <c r="S35" s="52" t="s">
        <v>31</v>
      </c>
      <c r="T35" s="52" t="s">
        <v>337</v>
      </c>
      <c r="U35" s="52" t="s">
        <v>31</v>
      </c>
      <c r="V35" s="52" t="s">
        <v>28</v>
      </c>
      <c r="W35" s="52" t="s">
        <v>29</v>
      </c>
      <c r="X35" s="52" t="s">
        <v>28</v>
      </c>
    </row>
    <row r="36" ht="15.75" customHeight="1">
      <c r="A36" s="53">
        <v>31.0</v>
      </c>
      <c r="B36" s="54" t="s">
        <v>168</v>
      </c>
      <c r="C36" s="55" t="s">
        <v>169</v>
      </c>
      <c r="D36" s="56">
        <f t="shared" si="5"/>
        <v>6</v>
      </c>
      <c r="E36" s="51" t="s">
        <v>30</v>
      </c>
      <c r="F36" s="52" t="s">
        <v>28</v>
      </c>
      <c r="G36" s="52" t="s">
        <v>32</v>
      </c>
      <c r="H36" s="52" t="s">
        <v>28</v>
      </c>
      <c r="I36" s="52" t="s">
        <v>29</v>
      </c>
      <c r="J36" s="52" t="s">
        <v>28</v>
      </c>
      <c r="K36" s="52" t="s">
        <v>30</v>
      </c>
      <c r="L36" s="52" t="s">
        <v>31</v>
      </c>
      <c r="M36" s="52" t="s">
        <v>28</v>
      </c>
      <c r="N36" s="52" t="s">
        <v>28</v>
      </c>
      <c r="O36" s="52" t="s">
        <v>32</v>
      </c>
      <c r="P36" s="52" t="s">
        <v>28</v>
      </c>
      <c r="Q36" s="52" t="s">
        <v>31</v>
      </c>
      <c r="R36" s="52" t="s">
        <v>31</v>
      </c>
      <c r="S36" s="52" t="s">
        <v>30</v>
      </c>
      <c r="T36" s="52" t="s">
        <v>337</v>
      </c>
      <c r="U36" s="52" t="s">
        <v>31</v>
      </c>
      <c r="V36" s="52" t="s">
        <v>28</v>
      </c>
      <c r="W36" s="52" t="s">
        <v>31</v>
      </c>
      <c r="X36" s="52" t="s">
        <v>32</v>
      </c>
    </row>
    <row r="37" ht="15.75" customHeight="1">
      <c r="A37" s="59">
        <v>32.0</v>
      </c>
      <c r="B37" s="60" t="s">
        <v>170</v>
      </c>
      <c r="C37" s="55" t="s">
        <v>171</v>
      </c>
      <c r="D37" s="56">
        <f t="shared" si="5"/>
        <v>5</v>
      </c>
      <c r="E37" s="51" t="s">
        <v>28</v>
      </c>
      <c r="F37" s="52" t="s">
        <v>28</v>
      </c>
      <c r="G37" s="52" t="s">
        <v>32</v>
      </c>
      <c r="H37" s="52" t="s">
        <v>31</v>
      </c>
      <c r="I37" s="52" t="s">
        <v>32</v>
      </c>
      <c r="J37" s="52" t="s">
        <v>28</v>
      </c>
      <c r="K37" s="52" t="s">
        <v>29</v>
      </c>
      <c r="L37" s="52" t="s">
        <v>31</v>
      </c>
      <c r="M37" s="52" t="s">
        <v>28</v>
      </c>
      <c r="N37" s="52" t="s">
        <v>29</v>
      </c>
      <c r="O37" s="52" t="s">
        <v>32</v>
      </c>
      <c r="P37" s="52" t="s">
        <v>28</v>
      </c>
      <c r="Q37" s="52" t="s">
        <v>31</v>
      </c>
      <c r="R37" s="52" t="s">
        <v>31</v>
      </c>
      <c r="S37" s="52" t="s">
        <v>30</v>
      </c>
      <c r="T37" s="52" t="s">
        <v>337</v>
      </c>
      <c r="U37" s="52" t="s">
        <v>31</v>
      </c>
      <c r="V37" s="52" t="s">
        <v>28</v>
      </c>
      <c r="W37" s="52" t="s">
        <v>29</v>
      </c>
      <c r="X37" s="52" t="s">
        <v>28</v>
      </c>
    </row>
    <row r="38" ht="15.75" customHeight="1">
      <c r="A38" s="59">
        <v>33.0</v>
      </c>
      <c r="B38" s="60" t="s">
        <v>172</v>
      </c>
      <c r="C38" s="58" t="s">
        <v>173</v>
      </c>
      <c r="D38" s="56">
        <f t="shared" si="5"/>
        <v>3</v>
      </c>
      <c r="E38" s="51" t="s">
        <v>31</v>
      </c>
      <c r="F38" s="52" t="s">
        <v>30</v>
      </c>
      <c r="G38" s="52" t="s">
        <v>32</v>
      </c>
      <c r="H38" s="52" t="s">
        <v>28</v>
      </c>
      <c r="I38" s="52" t="s">
        <v>28</v>
      </c>
      <c r="J38" s="52" t="s">
        <v>29</v>
      </c>
      <c r="K38" s="52" t="s">
        <v>30</v>
      </c>
      <c r="L38" s="52" t="s">
        <v>31</v>
      </c>
      <c r="M38" s="52" t="s">
        <v>31</v>
      </c>
      <c r="N38" s="52" t="s">
        <v>28</v>
      </c>
      <c r="O38" s="52" t="s">
        <v>30</v>
      </c>
      <c r="P38" s="52" t="s">
        <v>30</v>
      </c>
      <c r="Q38" s="52" t="s">
        <v>31</v>
      </c>
      <c r="R38" s="52" t="s">
        <v>28</v>
      </c>
      <c r="S38" s="52"/>
      <c r="T38" s="52" t="s">
        <v>337</v>
      </c>
      <c r="U38" s="52" t="s">
        <v>30</v>
      </c>
      <c r="V38" s="52" t="s">
        <v>31</v>
      </c>
      <c r="W38" s="52" t="s">
        <v>28</v>
      </c>
      <c r="X38" s="52" t="s">
        <v>31</v>
      </c>
    </row>
    <row r="39" ht="15.75" customHeight="1">
      <c r="A39" s="59">
        <v>34.0</v>
      </c>
      <c r="B39" s="60" t="s">
        <v>174</v>
      </c>
      <c r="C39" s="55" t="s">
        <v>175</v>
      </c>
      <c r="D39" s="56">
        <f t="shared" si="5"/>
        <v>4.5</v>
      </c>
      <c r="E39" s="51" t="s">
        <v>28</v>
      </c>
      <c r="F39" s="52" t="s">
        <v>28</v>
      </c>
      <c r="G39" s="52" t="s">
        <v>30</v>
      </c>
      <c r="H39" s="52" t="s">
        <v>28</v>
      </c>
      <c r="I39" s="52" t="s">
        <v>30</v>
      </c>
      <c r="J39" s="52" t="s">
        <v>29</v>
      </c>
      <c r="K39" s="52" t="s">
        <v>31</v>
      </c>
      <c r="L39" s="52" t="s">
        <v>28</v>
      </c>
      <c r="M39" s="52" t="s">
        <v>28</v>
      </c>
      <c r="N39" s="52" t="s">
        <v>29</v>
      </c>
      <c r="O39" s="52" t="s">
        <v>29</v>
      </c>
      <c r="P39" s="52" t="s">
        <v>28</v>
      </c>
      <c r="Q39" s="52" t="s">
        <v>31</v>
      </c>
      <c r="R39" s="52" t="s">
        <v>28</v>
      </c>
      <c r="S39" s="52" t="s">
        <v>32</v>
      </c>
      <c r="T39" s="52" t="s">
        <v>337</v>
      </c>
      <c r="U39" s="52" t="s">
        <v>31</v>
      </c>
      <c r="V39" s="52" t="s">
        <v>29</v>
      </c>
      <c r="W39" s="52" t="s">
        <v>30</v>
      </c>
      <c r="X39" s="52" t="s">
        <v>28</v>
      </c>
    </row>
    <row r="40" ht="15.75" customHeight="1">
      <c r="A40" s="59">
        <v>35.0</v>
      </c>
      <c r="B40" s="60" t="s">
        <v>176</v>
      </c>
      <c r="C40" s="55" t="s">
        <v>177</v>
      </c>
      <c r="D40" s="56">
        <f t="shared" si="5"/>
        <v>5.5</v>
      </c>
      <c r="E40" s="51" t="s">
        <v>28</v>
      </c>
      <c r="F40" s="52" t="s">
        <v>28</v>
      </c>
      <c r="G40" s="52" t="s">
        <v>31</v>
      </c>
      <c r="H40" s="52" t="s">
        <v>28</v>
      </c>
      <c r="I40" s="52" t="s">
        <v>32</v>
      </c>
      <c r="J40" s="52" t="s">
        <v>28</v>
      </c>
      <c r="K40" s="52" t="s">
        <v>30</v>
      </c>
      <c r="L40" s="52" t="s">
        <v>31</v>
      </c>
      <c r="M40" s="52" t="s">
        <v>29</v>
      </c>
      <c r="N40" s="52" t="s">
        <v>29</v>
      </c>
      <c r="O40" s="52" t="s">
        <v>32</v>
      </c>
      <c r="P40" s="52" t="s">
        <v>28</v>
      </c>
      <c r="Q40" s="52" t="s">
        <v>31</v>
      </c>
      <c r="R40" s="52" t="s">
        <v>32</v>
      </c>
      <c r="S40" s="52" t="s">
        <v>31</v>
      </c>
      <c r="T40" s="52" t="s">
        <v>337</v>
      </c>
      <c r="U40" s="52" t="s">
        <v>31</v>
      </c>
      <c r="V40" s="52" t="s">
        <v>28</v>
      </c>
      <c r="W40" s="52" t="s">
        <v>31</v>
      </c>
      <c r="X40" s="52" t="s">
        <v>28</v>
      </c>
    </row>
    <row r="41" ht="15.75" customHeight="1">
      <c r="A41" s="59">
        <v>36.0</v>
      </c>
      <c r="B41" s="60" t="s">
        <v>178</v>
      </c>
      <c r="C41" s="55" t="s">
        <v>179</v>
      </c>
      <c r="D41" s="56">
        <f t="shared" si="5"/>
        <v>6</v>
      </c>
      <c r="E41" s="51" t="s">
        <v>32</v>
      </c>
      <c r="F41" s="52" t="s">
        <v>28</v>
      </c>
      <c r="G41" s="52"/>
      <c r="H41" s="52" t="s">
        <v>28</v>
      </c>
      <c r="I41" s="52" t="s">
        <v>32</v>
      </c>
      <c r="J41" s="52" t="s">
        <v>29</v>
      </c>
      <c r="K41" s="52" t="s">
        <v>32</v>
      </c>
      <c r="L41" s="52" t="s">
        <v>31</v>
      </c>
      <c r="M41" s="52" t="s">
        <v>28</v>
      </c>
      <c r="N41" s="52" t="s">
        <v>30</v>
      </c>
      <c r="O41" s="52" t="s">
        <v>32</v>
      </c>
      <c r="P41" s="52" t="s">
        <v>28</v>
      </c>
      <c r="Q41" s="52" t="s">
        <v>31</v>
      </c>
      <c r="R41" s="52" t="s">
        <v>28</v>
      </c>
      <c r="S41" s="52" t="s">
        <v>31</v>
      </c>
      <c r="T41" s="52" t="s">
        <v>337</v>
      </c>
      <c r="U41" s="52" t="s">
        <v>31</v>
      </c>
      <c r="V41" s="52" t="s">
        <v>30</v>
      </c>
      <c r="W41" s="52" t="s">
        <v>31</v>
      </c>
      <c r="X41" s="52" t="s">
        <v>30</v>
      </c>
    </row>
    <row r="42" ht="15.75" customHeight="1">
      <c r="A42" s="59">
        <v>37.0</v>
      </c>
      <c r="B42" s="60" t="s">
        <v>180</v>
      </c>
      <c r="C42" s="55" t="s">
        <v>181</v>
      </c>
      <c r="D42" s="56">
        <f t="shared" si="5"/>
        <v>4.5</v>
      </c>
      <c r="E42" s="51" t="s">
        <v>30</v>
      </c>
      <c r="F42" s="52" t="s">
        <v>28</v>
      </c>
      <c r="G42" s="52" t="s">
        <v>29</v>
      </c>
      <c r="H42" s="52" t="s">
        <v>28</v>
      </c>
      <c r="I42" s="52" t="s">
        <v>30</v>
      </c>
      <c r="J42" s="52" t="s">
        <v>28</v>
      </c>
      <c r="K42" s="52" t="s">
        <v>28</v>
      </c>
      <c r="L42" s="52" t="s">
        <v>30</v>
      </c>
      <c r="M42" s="116"/>
      <c r="N42" s="52" t="s">
        <v>30</v>
      </c>
      <c r="O42" s="52" t="s">
        <v>32</v>
      </c>
      <c r="P42" s="52" t="s">
        <v>28</v>
      </c>
      <c r="Q42" s="52" t="s">
        <v>31</v>
      </c>
      <c r="R42" s="52" t="s">
        <v>31</v>
      </c>
      <c r="S42" s="52" t="s">
        <v>31</v>
      </c>
      <c r="T42" s="52" t="s">
        <v>337</v>
      </c>
      <c r="U42" s="52" t="s">
        <v>29</v>
      </c>
      <c r="V42" s="52" t="s">
        <v>32</v>
      </c>
      <c r="W42" s="52" t="s">
        <v>29</v>
      </c>
      <c r="X42" s="52" t="s">
        <v>30</v>
      </c>
    </row>
    <row r="43" ht="15.75" customHeight="1">
      <c r="A43" s="61">
        <v>38.0</v>
      </c>
      <c r="B43" s="62" t="s">
        <v>182</v>
      </c>
      <c r="C43" s="117" t="s">
        <v>183</v>
      </c>
      <c r="D43" s="64">
        <f t="shared" si="5"/>
        <v>3</v>
      </c>
      <c r="E43" s="51" t="s">
        <v>28</v>
      </c>
      <c r="F43" s="52" t="s">
        <v>32</v>
      </c>
      <c r="G43" s="52" t="s">
        <v>31</v>
      </c>
      <c r="H43" s="52" t="s">
        <v>29</v>
      </c>
      <c r="I43" s="52" t="s">
        <v>32</v>
      </c>
      <c r="J43" s="52" t="s">
        <v>28</v>
      </c>
      <c r="K43" s="52" t="s">
        <v>31</v>
      </c>
      <c r="L43" s="52" t="s">
        <v>30</v>
      </c>
      <c r="M43" s="52" t="s">
        <v>32</v>
      </c>
      <c r="N43" s="52" t="s">
        <v>28</v>
      </c>
      <c r="O43" s="52" t="s">
        <v>28</v>
      </c>
      <c r="P43" s="52" t="s">
        <v>28</v>
      </c>
      <c r="Q43" s="52" t="s">
        <v>31</v>
      </c>
      <c r="R43" s="52" t="s">
        <v>28</v>
      </c>
      <c r="S43" s="52"/>
      <c r="T43" s="52" t="s">
        <v>337</v>
      </c>
      <c r="U43" s="52" t="s">
        <v>31</v>
      </c>
      <c r="V43" s="52" t="s">
        <v>28</v>
      </c>
      <c r="W43" s="52" t="s">
        <v>32</v>
      </c>
      <c r="X43" s="52" t="s">
        <v>32</v>
      </c>
    </row>
    <row r="44" ht="15.75" customHeight="1">
      <c r="A44" s="65"/>
      <c r="B44" s="66"/>
      <c r="C44" s="67" t="s">
        <v>343</v>
      </c>
      <c r="D44" s="118">
        <f t="shared" si="5"/>
        <v>5.205882353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 ht="15.75" customHeight="1">
      <c r="A45" s="65"/>
      <c r="B45" s="66"/>
      <c r="C45" s="71" t="s">
        <v>344</v>
      </c>
      <c r="D45" s="24"/>
      <c r="E45" s="72">
        <f>COUNTIF(E6:E43,"A")</f>
        <v>10</v>
      </c>
      <c r="F45" s="72">
        <f>COUNTIF(F6:F43,"B")</f>
        <v>26</v>
      </c>
      <c r="G45" s="72">
        <f>COUNTIF(G6:G43,"C")</f>
        <v>9</v>
      </c>
      <c r="H45" s="72">
        <f t="shared" ref="H45:J45" si="6">COUNTIF(H6:H43,"B")</f>
        <v>30</v>
      </c>
      <c r="I45" s="72">
        <f t="shared" si="6"/>
        <v>13</v>
      </c>
      <c r="J45" s="72">
        <f t="shared" si="6"/>
        <v>14</v>
      </c>
      <c r="K45" s="72">
        <f t="shared" ref="K45:L45" si="7">COUNTIF(K6:K43,"D")</f>
        <v>11</v>
      </c>
      <c r="L45" s="72">
        <f t="shared" si="7"/>
        <v>16</v>
      </c>
      <c r="M45" s="72">
        <f>COUNTIF(M6:M43,"B")</f>
        <v>17</v>
      </c>
      <c r="N45" s="72">
        <f>COUNTIF(N6:N43,"C")</f>
        <v>17</v>
      </c>
      <c r="O45" s="72">
        <f>COUNTIF(O6:O43,"E")</f>
        <v>23</v>
      </c>
      <c r="P45" s="72">
        <f>COUNTIF(P6:P43,"B")</f>
        <v>31</v>
      </c>
      <c r="Q45" s="72">
        <f>COUNTIF(Q6:Q43,"D")</f>
        <v>31</v>
      </c>
      <c r="R45" s="72">
        <f>COUNTIF(R6:R43,"E")</f>
        <v>3</v>
      </c>
      <c r="S45" s="72">
        <f>COUNTIF(S6:S43,"C")</f>
        <v>12</v>
      </c>
      <c r="T45" s="72">
        <f>COUNTIF(T6:T43,"##")</f>
        <v>34</v>
      </c>
      <c r="U45" s="72">
        <f t="shared" ref="U45:W45" si="8">COUNTIF(U6:U43,"D")</f>
        <v>29</v>
      </c>
      <c r="V45" s="72">
        <f t="shared" si="8"/>
        <v>6</v>
      </c>
      <c r="W45" s="72">
        <f t="shared" si="8"/>
        <v>14</v>
      </c>
      <c r="X45" s="72">
        <f>COUNTIF(X6:X43,"C")</f>
        <v>8</v>
      </c>
    </row>
    <row r="46" ht="15.75" customHeight="1">
      <c r="A46" s="65"/>
      <c r="B46" s="66"/>
      <c r="C46" s="71" t="s">
        <v>345</v>
      </c>
      <c r="D46" s="24"/>
      <c r="E46" s="73">
        <f t="shared" ref="E46:X46" si="9">(E45)/34</f>
        <v>0.2941176471</v>
      </c>
      <c r="F46" s="73">
        <f t="shared" si="9"/>
        <v>0.7647058824</v>
      </c>
      <c r="G46" s="73">
        <f t="shared" si="9"/>
        <v>0.2647058824</v>
      </c>
      <c r="H46" s="73">
        <f t="shared" si="9"/>
        <v>0.8823529412</v>
      </c>
      <c r="I46" s="73">
        <f t="shared" si="9"/>
        <v>0.3823529412</v>
      </c>
      <c r="J46" s="73">
        <f t="shared" si="9"/>
        <v>0.4117647059</v>
      </c>
      <c r="K46" s="73">
        <f t="shared" si="9"/>
        <v>0.3235294118</v>
      </c>
      <c r="L46" s="73">
        <f t="shared" si="9"/>
        <v>0.4705882353</v>
      </c>
      <c r="M46" s="73">
        <f t="shared" si="9"/>
        <v>0.5</v>
      </c>
      <c r="N46" s="73">
        <f t="shared" si="9"/>
        <v>0.5</v>
      </c>
      <c r="O46" s="73">
        <f t="shared" si="9"/>
        <v>0.6764705882</v>
      </c>
      <c r="P46" s="73">
        <f t="shared" si="9"/>
        <v>0.9117647059</v>
      </c>
      <c r="Q46" s="73">
        <f t="shared" si="9"/>
        <v>0.9117647059</v>
      </c>
      <c r="R46" s="73">
        <f t="shared" si="9"/>
        <v>0.08823529412</v>
      </c>
      <c r="S46" s="73">
        <f t="shared" si="9"/>
        <v>0.3529411765</v>
      </c>
      <c r="T46" s="73">
        <f t="shared" si="9"/>
        <v>1</v>
      </c>
      <c r="U46" s="73">
        <f t="shared" si="9"/>
        <v>0.8529411765</v>
      </c>
      <c r="V46" s="73">
        <f t="shared" si="9"/>
        <v>0.1764705882</v>
      </c>
      <c r="W46" s="73">
        <f t="shared" si="9"/>
        <v>0.4117647059</v>
      </c>
      <c r="X46" s="73">
        <f t="shared" si="9"/>
        <v>0.2352941176</v>
      </c>
    </row>
    <row r="47" ht="15.75" customHeight="1">
      <c r="A47" s="65"/>
      <c r="B47" s="66"/>
      <c r="C47" s="71" t="s">
        <v>346</v>
      </c>
      <c r="D47" s="24"/>
      <c r="E47" s="72">
        <f t="shared" ref="E47:X47" si="10">34-E45</f>
        <v>24</v>
      </c>
      <c r="F47" s="72">
        <f t="shared" si="10"/>
        <v>8</v>
      </c>
      <c r="G47" s="72">
        <f t="shared" si="10"/>
        <v>25</v>
      </c>
      <c r="H47" s="72">
        <f t="shared" si="10"/>
        <v>4</v>
      </c>
      <c r="I47" s="72">
        <f t="shared" si="10"/>
        <v>21</v>
      </c>
      <c r="J47" s="72">
        <f t="shared" si="10"/>
        <v>20</v>
      </c>
      <c r="K47" s="72">
        <f t="shared" si="10"/>
        <v>23</v>
      </c>
      <c r="L47" s="72">
        <f t="shared" si="10"/>
        <v>18</v>
      </c>
      <c r="M47" s="72">
        <f t="shared" si="10"/>
        <v>17</v>
      </c>
      <c r="N47" s="72">
        <f t="shared" si="10"/>
        <v>17</v>
      </c>
      <c r="O47" s="72">
        <f t="shared" si="10"/>
        <v>11</v>
      </c>
      <c r="P47" s="72">
        <f t="shared" si="10"/>
        <v>3</v>
      </c>
      <c r="Q47" s="72">
        <f t="shared" si="10"/>
        <v>3</v>
      </c>
      <c r="R47" s="72">
        <f t="shared" si="10"/>
        <v>31</v>
      </c>
      <c r="S47" s="72">
        <f t="shared" si="10"/>
        <v>22</v>
      </c>
      <c r="T47" s="72">
        <f t="shared" si="10"/>
        <v>0</v>
      </c>
      <c r="U47" s="72">
        <f t="shared" si="10"/>
        <v>5</v>
      </c>
      <c r="V47" s="72">
        <f t="shared" si="10"/>
        <v>28</v>
      </c>
      <c r="W47" s="72">
        <f t="shared" si="10"/>
        <v>20</v>
      </c>
      <c r="X47" s="72">
        <f t="shared" si="10"/>
        <v>26</v>
      </c>
    </row>
    <row r="48" ht="15.75" customHeight="1">
      <c r="A48" s="74"/>
      <c r="B48" s="75"/>
      <c r="C48" s="71" t="s">
        <v>347</v>
      </c>
      <c r="D48" s="24"/>
      <c r="E48" s="73">
        <f t="shared" ref="E48:X48" si="11">100%-E46</f>
        <v>0.7058823529</v>
      </c>
      <c r="F48" s="73">
        <f t="shared" si="11"/>
        <v>0.2352941176</v>
      </c>
      <c r="G48" s="73">
        <f t="shared" si="11"/>
        <v>0.7352941176</v>
      </c>
      <c r="H48" s="73">
        <f t="shared" si="11"/>
        <v>0.1176470588</v>
      </c>
      <c r="I48" s="73">
        <f t="shared" si="11"/>
        <v>0.6176470588</v>
      </c>
      <c r="J48" s="73">
        <f t="shared" si="11"/>
        <v>0.5882352941</v>
      </c>
      <c r="K48" s="73">
        <f t="shared" si="11"/>
        <v>0.6764705882</v>
      </c>
      <c r="L48" s="73">
        <f t="shared" si="11"/>
        <v>0.5294117647</v>
      </c>
      <c r="M48" s="73">
        <f t="shared" si="11"/>
        <v>0.5</v>
      </c>
      <c r="N48" s="73">
        <f t="shared" si="11"/>
        <v>0.5</v>
      </c>
      <c r="O48" s="73">
        <f t="shared" si="11"/>
        <v>0.3235294118</v>
      </c>
      <c r="P48" s="73">
        <f t="shared" si="11"/>
        <v>0.08823529412</v>
      </c>
      <c r="Q48" s="73">
        <f t="shared" si="11"/>
        <v>0.08823529412</v>
      </c>
      <c r="R48" s="73">
        <f t="shared" si="11"/>
        <v>0.9117647059</v>
      </c>
      <c r="S48" s="73">
        <f t="shared" si="11"/>
        <v>0.6470588235</v>
      </c>
      <c r="T48" s="73">
        <f t="shared" si="11"/>
        <v>0</v>
      </c>
      <c r="U48" s="73">
        <f t="shared" si="11"/>
        <v>0.1470588235</v>
      </c>
      <c r="V48" s="73">
        <f t="shared" si="11"/>
        <v>0.8235294118</v>
      </c>
      <c r="W48" s="73">
        <f t="shared" si="11"/>
        <v>0.5882352941</v>
      </c>
      <c r="X48" s="73">
        <f t="shared" si="11"/>
        <v>0.7647058824</v>
      </c>
    </row>
    <row r="49" ht="15.75" customHeight="1">
      <c r="A49" s="74"/>
      <c r="B49" s="75"/>
      <c r="C49" s="76" t="s">
        <v>348</v>
      </c>
      <c r="D49" s="23"/>
      <c r="E49" s="78">
        <f>(34/38)</f>
        <v>0.8947368421</v>
      </c>
      <c r="F49" s="24"/>
    </row>
    <row r="50" ht="15.75" customHeight="1">
      <c r="A50" s="74"/>
      <c r="B50" s="75"/>
      <c r="C50" s="71" t="s">
        <v>349</v>
      </c>
      <c r="D50" s="24"/>
      <c r="E50" s="119">
        <f>'3A'!E50</f>
        <v>0.2335766423</v>
      </c>
      <c r="F50" s="119">
        <f>'3A'!F50</f>
        <v>0.7445255474</v>
      </c>
      <c r="G50" s="119">
        <f>'3A'!G50</f>
        <v>0.1824817518</v>
      </c>
      <c r="H50" s="119">
        <f>'3A'!H50</f>
        <v>0.8832116788</v>
      </c>
      <c r="I50" s="119">
        <f>'3A'!I50</f>
        <v>0.2773722628</v>
      </c>
      <c r="J50" s="119">
        <f>'3A'!J50</f>
        <v>0.3065693431</v>
      </c>
      <c r="K50" s="119">
        <f>'3A'!K50</f>
        <v>0.4306569343</v>
      </c>
      <c r="L50" s="119">
        <f>'3A'!L50</f>
        <v>0.503649635</v>
      </c>
      <c r="M50" s="119">
        <f>'3A'!M50</f>
        <v>0.5693430657</v>
      </c>
      <c r="N50" s="119">
        <f>'3A'!N50</f>
        <v>0.496350365</v>
      </c>
      <c r="O50" s="119">
        <f>'3A'!O50</f>
        <v>0.7080291971</v>
      </c>
      <c r="P50" s="119">
        <f>'3A'!P50</f>
        <v>0.9343065693</v>
      </c>
      <c r="Q50" s="119">
        <f>'3A'!Q50</f>
        <v>0.802919708</v>
      </c>
      <c r="R50" s="119">
        <f>'3A'!R50</f>
        <v>0.1094890511</v>
      </c>
      <c r="S50" s="119">
        <f>'3A'!S50</f>
        <v>0.4233576642</v>
      </c>
      <c r="T50" s="119">
        <f>'3A'!T50</f>
        <v>0.7591240876</v>
      </c>
      <c r="U50" s="119">
        <f>'3A'!U50</f>
        <v>0.7737226277</v>
      </c>
      <c r="V50" s="119">
        <f>'3A'!V50</f>
        <v>0.2408759124</v>
      </c>
      <c r="W50" s="119">
        <f>'3A'!W50</f>
        <v>0.3722627737</v>
      </c>
      <c r="X50" s="119">
        <f>'3A'!X50</f>
        <v>0.2279411765</v>
      </c>
    </row>
    <row r="51" ht="15.75" customHeight="1">
      <c r="A51" s="74"/>
      <c r="B51" s="75"/>
    </row>
    <row r="52" ht="15.75" customHeight="1">
      <c r="A52" s="74"/>
      <c r="B52" s="75"/>
      <c r="C52" s="81" t="s">
        <v>350</v>
      </c>
      <c r="G52" s="82" t="s">
        <v>351</v>
      </c>
      <c r="H52" s="83" t="s">
        <v>352</v>
      </c>
    </row>
    <row r="53" ht="15.75" customHeight="1">
      <c r="A53" s="74"/>
      <c r="B53" s="75"/>
      <c r="C53" s="84" t="s">
        <v>353</v>
      </c>
      <c r="G53" s="82" t="s">
        <v>351</v>
      </c>
      <c r="H53" s="83" t="s">
        <v>354</v>
      </c>
    </row>
    <row r="54" ht="15.75" customHeight="1">
      <c r="A54" s="74"/>
      <c r="B54" s="75"/>
      <c r="C54" s="85" t="s">
        <v>355</v>
      </c>
      <c r="G54" s="82" t="s">
        <v>351</v>
      </c>
      <c r="H54" s="83" t="s">
        <v>356</v>
      </c>
    </row>
    <row r="55" ht="15.75" customHeight="1">
      <c r="A55" s="74"/>
      <c r="B55" s="75"/>
      <c r="C55" s="86"/>
      <c r="G55" s="82" t="s">
        <v>351</v>
      </c>
      <c r="H55" s="83" t="s">
        <v>357</v>
      </c>
    </row>
    <row r="56" ht="15.75" customHeight="1">
      <c r="A56" s="74"/>
      <c r="B56" s="75"/>
      <c r="C56" s="86"/>
      <c r="G56" s="82" t="s">
        <v>351</v>
      </c>
      <c r="H56" s="83" t="s">
        <v>358</v>
      </c>
    </row>
    <row r="57" ht="15.75" customHeight="1">
      <c r="A57" s="74"/>
      <c r="B57" s="75"/>
      <c r="C57" s="86"/>
    </row>
    <row r="58" ht="15.75" customHeight="1">
      <c r="A58" s="74"/>
      <c r="B58" s="75"/>
      <c r="C58" s="86"/>
    </row>
    <row r="59" ht="15.75" customHeight="1">
      <c r="A59" s="74"/>
      <c r="B59" s="75"/>
      <c r="C59" s="86"/>
    </row>
    <row r="60" ht="15.75" customHeight="1">
      <c r="A60" s="74"/>
      <c r="B60" s="75"/>
      <c r="C60" s="86"/>
    </row>
    <row r="61" ht="15.75" customHeight="1">
      <c r="A61" s="74"/>
      <c r="B61" s="75"/>
    </row>
    <row r="62" ht="15.75" customHeight="1">
      <c r="A62" s="87" t="s">
        <v>0</v>
      </c>
      <c r="B62" s="88" t="s">
        <v>330</v>
      </c>
      <c r="C62" s="89" t="s">
        <v>333</v>
      </c>
      <c r="D62" s="90" t="s">
        <v>359</v>
      </c>
      <c r="E62" s="91">
        <v>1.0</v>
      </c>
      <c r="F62" s="92">
        <v>2.0</v>
      </c>
      <c r="G62" s="92">
        <v>3.0</v>
      </c>
      <c r="H62" s="92">
        <v>4.0</v>
      </c>
      <c r="I62" s="92">
        <v>5.0</v>
      </c>
      <c r="J62" s="92">
        <v>6.0</v>
      </c>
      <c r="K62" s="92">
        <v>7.0</v>
      </c>
      <c r="L62" s="92">
        <v>8.0</v>
      </c>
      <c r="M62" s="92">
        <v>9.0</v>
      </c>
      <c r="N62" s="92">
        <v>10.0</v>
      </c>
      <c r="O62" s="92">
        <v>11.0</v>
      </c>
      <c r="P62" s="92">
        <v>12.0</v>
      </c>
      <c r="Q62" s="92">
        <v>13.0</v>
      </c>
      <c r="R62" s="92">
        <v>14.0</v>
      </c>
      <c r="S62" s="92">
        <v>15.0</v>
      </c>
      <c r="T62" s="92">
        <v>16.0</v>
      </c>
      <c r="U62" s="92">
        <v>17.0</v>
      </c>
      <c r="V62" s="92">
        <v>18.0</v>
      </c>
      <c r="W62" s="92">
        <v>19.0</v>
      </c>
      <c r="X62" s="92">
        <v>20.0</v>
      </c>
    </row>
    <row r="63" ht="15.75" customHeight="1">
      <c r="A63" s="93" t="s">
        <v>334</v>
      </c>
      <c r="B63" s="94">
        <f t="shared" ref="B63:B101" si="12">SUM(E63:X63)</f>
        <v>10</v>
      </c>
      <c r="C63" s="95" t="s">
        <v>336</v>
      </c>
      <c r="D63" s="96">
        <f t="shared" ref="D63:D101" si="13">B63</f>
        <v>10</v>
      </c>
      <c r="E63" s="97">
        <f t="shared" ref="E63:E101" si="14">IF(E5=$E$3,$E$4,0)</f>
        <v>0.5</v>
      </c>
      <c r="F63" s="98">
        <f t="shared" ref="F63:F101" si="15">IF(F5=$F$3,$F$4,0)</f>
        <v>0.5</v>
      </c>
      <c r="G63" s="98">
        <f t="shared" ref="G63:G101" si="16">IF(G5=$G$3,$G$4,0)</f>
        <v>0.5</v>
      </c>
      <c r="H63" s="98">
        <f t="shared" ref="H63:H101" si="17">IF(H5=$H$3,$H$4,0)</f>
        <v>0.5</v>
      </c>
      <c r="I63" s="98">
        <f t="shared" ref="I63:I101" si="18">IF(I5=$I$3,$I$4,0)</f>
        <v>0.5</v>
      </c>
      <c r="J63" s="98">
        <f t="shared" ref="J63:J101" si="19">IF(J5=$J$3,$J$4,0)</f>
        <v>0.5</v>
      </c>
      <c r="K63" s="98">
        <f t="shared" ref="K63:K101" si="20">IF(K5=$K$3,$K$4,0)</f>
        <v>0.5</v>
      </c>
      <c r="L63" s="98">
        <f t="shared" ref="L63:L101" si="21">IF(L5=$L$3,$L$4,0)</f>
        <v>0.5</v>
      </c>
      <c r="M63" s="98">
        <f t="shared" ref="M63:M101" si="22">IF(M5=$M$3,$M$4,0)</f>
        <v>0.5</v>
      </c>
      <c r="N63" s="98">
        <f t="shared" ref="N63:N101" si="23">IF(N5=$N$3,$N$4,0)</f>
        <v>0.5</v>
      </c>
      <c r="O63" s="98">
        <f t="shared" ref="O63:O101" si="24">IF(O5=$O$3,$O$4,0)</f>
        <v>0.5</v>
      </c>
      <c r="P63" s="98">
        <f t="shared" ref="P63:P101" si="25">IF(P5=$P$3,$P$4,0)</f>
        <v>0.5</v>
      </c>
      <c r="Q63" s="98">
        <f t="shared" ref="Q63:Q101" si="26">IF(Q5=$Q$3,$Q$4,0)</f>
        <v>0.5</v>
      </c>
      <c r="R63" s="98">
        <f t="shared" ref="R63:R101" si="27">IF(R5=$R$3,$R$4,0)</f>
        <v>0.5</v>
      </c>
      <c r="S63" s="98">
        <f t="shared" ref="S63:S101" si="28">IF(S5=$S$3,$S$4,0)</f>
        <v>0.5</v>
      </c>
      <c r="T63" s="98">
        <f t="shared" ref="T63:T101" si="29">IF(T5=$T$3,$T$4,0)</f>
        <v>0.5</v>
      </c>
      <c r="U63" s="98">
        <f t="shared" ref="U63:U101" si="30">IF(U5=$U$3,$U$4,0)</f>
        <v>0.5</v>
      </c>
      <c r="V63" s="98">
        <f t="shared" ref="V63:V101" si="31">IF(V5=$V$3,$V$4,0)</f>
        <v>0.5</v>
      </c>
      <c r="W63" s="98">
        <f t="shared" ref="W63:W101" si="32">IF(W5=$W$3,$W$4,0)</f>
        <v>0.5</v>
      </c>
      <c r="X63" s="98">
        <f t="shared" ref="X63:X101" si="33">IF(X5=$X$3,$X$4,0)</f>
        <v>0.5</v>
      </c>
    </row>
    <row r="64" ht="15.75" customHeight="1">
      <c r="A64" s="99">
        <v>1.0</v>
      </c>
      <c r="B64" s="100">
        <f t="shared" si="12"/>
        <v>5</v>
      </c>
      <c r="C64" s="49" t="s">
        <v>109</v>
      </c>
      <c r="D64" s="101">
        <f t="shared" si="13"/>
        <v>5</v>
      </c>
      <c r="E64" s="102">
        <f t="shared" si="14"/>
        <v>0</v>
      </c>
      <c r="F64" s="103">
        <f t="shared" si="15"/>
        <v>0.5</v>
      </c>
      <c r="G64" s="103">
        <f t="shared" si="16"/>
        <v>0</v>
      </c>
      <c r="H64" s="103">
        <f t="shared" si="17"/>
        <v>0.5</v>
      </c>
      <c r="I64" s="103">
        <f t="shared" si="18"/>
        <v>0</v>
      </c>
      <c r="J64" s="103">
        <f t="shared" si="19"/>
        <v>0</v>
      </c>
      <c r="K64" s="103">
        <f t="shared" si="20"/>
        <v>0</v>
      </c>
      <c r="L64" s="103">
        <f t="shared" si="21"/>
        <v>0</v>
      </c>
      <c r="M64" s="103">
        <f t="shared" si="22"/>
        <v>0.5</v>
      </c>
      <c r="N64" s="103">
        <f t="shared" si="23"/>
        <v>0.5</v>
      </c>
      <c r="O64" s="103">
        <f t="shared" si="24"/>
        <v>0.5</v>
      </c>
      <c r="P64" s="103">
        <f t="shared" si="25"/>
        <v>0</v>
      </c>
      <c r="Q64" s="103">
        <f t="shared" si="26"/>
        <v>0.5</v>
      </c>
      <c r="R64" s="103">
        <f t="shared" si="27"/>
        <v>0</v>
      </c>
      <c r="S64" s="103">
        <f t="shared" si="28"/>
        <v>0</v>
      </c>
      <c r="T64" s="103">
        <f t="shared" si="29"/>
        <v>0.5</v>
      </c>
      <c r="U64" s="103">
        <f t="shared" si="30"/>
        <v>0.5</v>
      </c>
      <c r="V64" s="103">
        <f t="shared" si="31"/>
        <v>0.5</v>
      </c>
      <c r="W64" s="103">
        <f t="shared" si="32"/>
        <v>0.5</v>
      </c>
      <c r="X64" s="103">
        <f t="shared" si="33"/>
        <v>0</v>
      </c>
    </row>
    <row r="65" ht="15.75" customHeight="1">
      <c r="A65" s="104">
        <v>2.0</v>
      </c>
      <c r="B65" s="105">
        <f t="shared" si="12"/>
        <v>0</v>
      </c>
      <c r="C65" s="55" t="s">
        <v>111</v>
      </c>
      <c r="D65" s="106">
        <f t="shared" si="13"/>
        <v>0</v>
      </c>
      <c r="E65" s="107">
        <f t="shared" si="14"/>
        <v>0</v>
      </c>
      <c r="F65" s="108">
        <f t="shared" si="15"/>
        <v>0</v>
      </c>
      <c r="G65" s="108">
        <f t="shared" si="16"/>
        <v>0</v>
      </c>
      <c r="H65" s="108">
        <f t="shared" si="17"/>
        <v>0</v>
      </c>
      <c r="I65" s="108">
        <f t="shared" si="18"/>
        <v>0</v>
      </c>
      <c r="J65" s="108">
        <f t="shared" si="19"/>
        <v>0</v>
      </c>
      <c r="K65" s="108">
        <f t="shared" si="20"/>
        <v>0</v>
      </c>
      <c r="L65" s="108">
        <f t="shared" si="21"/>
        <v>0</v>
      </c>
      <c r="M65" s="108">
        <f t="shared" si="22"/>
        <v>0</v>
      </c>
      <c r="N65" s="108">
        <f t="shared" si="23"/>
        <v>0</v>
      </c>
      <c r="O65" s="108">
        <f t="shared" si="24"/>
        <v>0</v>
      </c>
      <c r="P65" s="108">
        <f t="shared" si="25"/>
        <v>0</v>
      </c>
      <c r="Q65" s="108">
        <f t="shared" si="26"/>
        <v>0</v>
      </c>
      <c r="R65" s="108">
        <f t="shared" si="27"/>
        <v>0</v>
      </c>
      <c r="S65" s="108">
        <f t="shared" si="28"/>
        <v>0</v>
      </c>
      <c r="T65" s="108">
        <f t="shared" si="29"/>
        <v>0</v>
      </c>
      <c r="U65" s="108">
        <f t="shared" si="30"/>
        <v>0</v>
      </c>
      <c r="V65" s="108">
        <f t="shared" si="31"/>
        <v>0</v>
      </c>
      <c r="W65" s="108">
        <f t="shared" si="32"/>
        <v>0</v>
      </c>
      <c r="X65" s="108">
        <f t="shared" si="33"/>
        <v>0</v>
      </c>
    </row>
    <row r="66" ht="15.75" customHeight="1">
      <c r="A66" s="104">
        <v>3.0</v>
      </c>
      <c r="B66" s="105">
        <f t="shared" si="12"/>
        <v>5.5</v>
      </c>
      <c r="C66" s="55" t="s">
        <v>113</v>
      </c>
      <c r="D66" s="106">
        <f t="shared" si="13"/>
        <v>5.5</v>
      </c>
      <c r="E66" s="107">
        <f t="shared" si="14"/>
        <v>0</v>
      </c>
      <c r="F66" s="108">
        <f t="shared" si="15"/>
        <v>0</v>
      </c>
      <c r="G66" s="108">
        <f t="shared" si="16"/>
        <v>0</v>
      </c>
      <c r="H66" s="108">
        <f t="shared" si="17"/>
        <v>0.5</v>
      </c>
      <c r="I66" s="108">
        <f t="shared" si="18"/>
        <v>0.5</v>
      </c>
      <c r="J66" s="108">
        <f t="shared" si="19"/>
        <v>0</v>
      </c>
      <c r="K66" s="108">
        <f t="shared" si="20"/>
        <v>0</v>
      </c>
      <c r="L66" s="108">
        <f t="shared" si="21"/>
        <v>0.5</v>
      </c>
      <c r="M66" s="108">
        <f t="shared" si="22"/>
        <v>0.5</v>
      </c>
      <c r="N66" s="108">
        <f t="shared" si="23"/>
        <v>0.5</v>
      </c>
      <c r="O66" s="108">
        <f t="shared" si="24"/>
        <v>0.5</v>
      </c>
      <c r="P66" s="108">
        <f t="shared" si="25"/>
        <v>0.5</v>
      </c>
      <c r="Q66" s="108">
        <f t="shared" si="26"/>
        <v>0.5</v>
      </c>
      <c r="R66" s="108">
        <f t="shared" si="27"/>
        <v>0</v>
      </c>
      <c r="S66" s="108">
        <f t="shared" si="28"/>
        <v>0.5</v>
      </c>
      <c r="T66" s="108">
        <f t="shared" si="29"/>
        <v>0.5</v>
      </c>
      <c r="U66" s="108">
        <f t="shared" si="30"/>
        <v>0.5</v>
      </c>
      <c r="V66" s="108">
        <f t="shared" si="31"/>
        <v>0</v>
      </c>
      <c r="W66" s="108">
        <f t="shared" si="32"/>
        <v>0</v>
      </c>
      <c r="X66" s="108">
        <f t="shared" si="33"/>
        <v>0</v>
      </c>
    </row>
    <row r="67" ht="15.75" customHeight="1">
      <c r="A67" s="104">
        <v>4.0</v>
      </c>
      <c r="B67" s="105">
        <f t="shared" si="12"/>
        <v>6</v>
      </c>
      <c r="C67" s="55" t="s">
        <v>115</v>
      </c>
      <c r="D67" s="106">
        <f t="shared" si="13"/>
        <v>6</v>
      </c>
      <c r="E67" s="107">
        <f t="shared" si="14"/>
        <v>0</v>
      </c>
      <c r="F67" s="108">
        <f t="shared" si="15"/>
        <v>0.5</v>
      </c>
      <c r="G67" s="108">
        <f t="shared" si="16"/>
        <v>0</v>
      </c>
      <c r="H67" s="108">
        <f t="shared" si="17"/>
        <v>0.5</v>
      </c>
      <c r="I67" s="108">
        <f t="shared" si="18"/>
        <v>0</v>
      </c>
      <c r="J67" s="108">
        <f t="shared" si="19"/>
        <v>0.5</v>
      </c>
      <c r="K67" s="108">
        <f t="shared" si="20"/>
        <v>0.5</v>
      </c>
      <c r="L67" s="108">
        <f t="shared" si="21"/>
        <v>0.5</v>
      </c>
      <c r="M67" s="108">
        <f t="shared" si="22"/>
        <v>0</v>
      </c>
      <c r="N67" s="108">
        <f t="shared" si="23"/>
        <v>0.5</v>
      </c>
      <c r="O67" s="108">
        <f t="shared" si="24"/>
        <v>0.5</v>
      </c>
      <c r="P67" s="108">
        <f t="shared" si="25"/>
        <v>0.5</v>
      </c>
      <c r="Q67" s="108">
        <f t="shared" si="26"/>
        <v>0.5</v>
      </c>
      <c r="R67" s="108">
        <f t="shared" si="27"/>
        <v>0</v>
      </c>
      <c r="S67" s="108">
        <f t="shared" si="28"/>
        <v>0</v>
      </c>
      <c r="T67" s="108">
        <f t="shared" si="29"/>
        <v>0.5</v>
      </c>
      <c r="U67" s="108">
        <f t="shared" si="30"/>
        <v>0.5</v>
      </c>
      <c r="V67" s="108">
        <f t="shared" si="31"/>
        <v>0</v>
      </c>
      <c r="W67" s="108">
        <f t="shared" si="32"/>
        <v>0.5</v>
      </c>
      <c r="X67" s="108">
        <f t="shared" si="33"/>
        <v>0</v>
      </c>
    </row>
    <row r="68" ht="15.75" customHeight="1">
      <c r="A68" s="104">
        <v>5.0</v>
      </c>
      <c r="B68" s="105">
        <f t="shared" si="12"/>
        <v>5.5</v>
      </c>
      <c r="C68" s="55" t="s">
        <v>117</v>
      </c>
      <c r="D68" s="106">
        <f t="shared" si="13"/>
        <v>5.5</v>
      </c>
      <c r="E68" s="107">
        <f t="shared" si="14"/>
        <v>0</v>
      </c>
      <c r="F68" s="108">
        <f t="shared" si="15"/>
        <v>0.5</v>
      </c>
      <c r="G68" s="108">
        <f t="shared" si="16"/>
        <v>0</v>
      </c>
      <c r="H68" s="108">
        <f t="shared" si="17"/>
        <v>0.5</v>
      </c>
      <c r="I68" s="108">
        <f t="shared" si="18"/>
        <v>0.5</v>
      </c>
      <c r="J68" s="108">
        <f t="shared" si="19"/>
        <v>0</v>
      </c>
      <c r="K68" s="108">
        <f t="shared" si="20"/>
        <v>0</v>
      </c>
      <c r="L68" s="108">
        <f t="shared" si="21"/>
        <v>0</v>
      </c>
      <c r="M68" s="108">
        <f t="shared" si="22"/>
        <v>0</v>
      </c>
      <c r="N68" s="108">
        <f t="shared" si="23"/>
        <v>0.5</v>
      </c>
      <c r="O68" s="108">
        <f t="shared" si="24"/>
        <v>0.5</v>
      </c>
      <c r="P68" s="108">
        <f t="shared" si="25"/>
        <v>0.5</v>
      </c>
      <c r="Q68" s="108">
        <f t="shared" si="26"/>
        <v>0.5</v>
      </c>
      <c r="R68" s="108">
        <f t="shared" si="27"/>
        <v>0</v>
      </c>
      <c r="S68" s="108">
        <f t="shared" si="28"/>
        <v>0.5</v>
      </c>
      <c r="T68" s="108">
        <f t="shared" si="29"/>
        <v>0.5</v>
      </c>
      <c r="U68" s="108">
        <f t="shared" si="30"/>
        <v>0.5</v>
      </c>
      <c r="V68" s="108">
        <f t="shared" si="31"/>
        <v>0</v>
      </c>
      <c r="W68" s="108">
        <f t="shared" si="32"/>
        <v>0.5</v>
      </c>
      <c r="X68" s="108">
        <f t="shared" si="33"/>
        <v>0</v>
      </c>
    </row>
    <row r="69" ht="15.75" customHeight="1">
      <c r="A69" s="104">
        <v>6.0</v>
      </c>
      <c r="B69" s="105">
        <f t="shared" si="12"/>
        <v>6</v>
      </c>
      <c r="C69" s="58" t="s">
        <v>119</v>
      </c>
      <c r="D69" s="106">
        <f t="shared" si="13"/>
        <v>6</v>
      </c>
      <c r="E69" s="107">
        <f t="shared" si="14"/>
        <v>0.5</v>
      </c>
      <c r="F69" s="108">
        <f t="shared" si="15"/>
        <v>0.5</v>
      </c>
      <c r="G69" s="108">
        <f t="shared" si="16"/>
        <v>0.5</v>
      </c>
      <c r="H69" s="108">
        <f t="shared" si="17"/>
        <v>0.5</v>
      </c>
      <c r="I69" s="108">
        <f t="shared" si="18"/>
        <v>0</v>
      </c>
      <c r="J69" s="108">
        <f t="shared" si="19"/>
        <v>0.5</v>
      </c>
      <c r="K69" s="108">
        <f t="shared" si="20"/>
        <v>0</v>
      </c>
      <c r="L69" s="108">
        <f t="shared" si="21"/>
        <v>0</v>
      </c>
      <c r="M69" s="108">
        <f t="shared" si="22"/>
        <v>0.5</v>
      </c>
      <c r="N69" s="108">
        <f t="shared" si="23"/>
        <v>0</v>
      </c>
      <c r="O69" s="108">
        <f t="shared" si="24"/>
        <v>0</v>
      </c>
      <c r="P69" s="108">
        <f t="shared" si="25"/>
        <v>0.5</v>
      </c>
      <c r="Q69" s="108">
        <f t="shared" si="26"/>
        <v>0.5</v>
      </c>
      <c r="R69" s="108">
        <f t="shared" si="27"/>
        <v>0</v>
      </c>
      <c r="S69" s="108">
        <f t="shared" si="28"/>
        <v>0.5</v>
      </c>
      <c r="T69" s="108">
        <f t="shared" si="29"/>
        <v>0.5</v>
      </c>
      <c r="U69" s="108">
        <f t="shared" si="30"/>
        <v>0</v>
      </c>
      <c r="V69" s="108">
        <f t="shared" si="31"/>
        <v>0.5</v>
      </c>
      <c r="W69" s="108">
        <f t="shared" si="32"/>
        <v>0</v>
      </c>
      <c r="X69" s="108">
        <f t="shared" si="33"/>
        <v>0.5</v>
      </c>
    </row>
    <row r="70" ht="15.75" customHeight="1">
      <c r="A70" s="104">
        <v>7.0</v>
      </c>
      <c r="B70" s="105">
        <f t="shared" si="12"/>
        <v>0</v>
      </c>
      <c r="C70" s="55" t="s">
        <v>121</v>
      </c>
      <c r="D70" s="106">
        <f t="shared" si="13"/>
        <v>0</v>
      </c>
      <c r="E70" s="107">
        <f t="shared" si="14"/>
        <v>0</v>
      </c>
      <c r="F70" s="108">
        <f t="shared" si="15"/>
        <v>0</v>
      </c>
      <c r="G70" s="108">
        <f t="shared" si="16"/>
        <v>0</v>
      </c>
      <c r="H70" s="108">
        <f t="shared" si="17"/>
        <v>0</v>
      </c>
      <c r="I70" s="108">
        <f t="shared" si="18"/>
        <v>0</v>
      </c>
      <c r="J70" s="108">
        <f t="shared" si="19"/>
        <v>0</v>
      </c>
      <c r="K70" s="108">
        <f t="shared" si="20"/>
        <v>0</v>
      </c>
      <c r="L70" s="108">
        <f t="shared" si="21"/>
        <v>0</v>
      </c>
      <c r="M70" s="108">
        <f t="shared" si="22"/>
        <v>0</v>
      </c>
      <c r="N70" s="108">
        <f t="shared" si="23"/>
        <v>0</v>
      </c>
      <c r="O70" s="108">
        <f t="shared" si="24"/>
        <v>0</v>
      </c>
      <c r="P70" s="108">
        <f t="shared" si="25"/>
        <v>0</v>
      </c>
      <c r="Q70" s="108">
        <f t="shared" si="26"/>
        <v>0</v>
      </c>
      <c r="R70" s="108">
        <f t="shared" si="27"/>
        <v>0</v>
      </c>
      <c r="S70" s="108">
        <f t="shared" si="28"/>
        <v>0</v>
      </c>
      <c r="T70" s="108">
        <f t="shared" si="29"/>
        <v>0</v>
      </c>
      <c r="U70" s="108">
        <f t="shared" si="30"/>
        <v>0</v>
      </c>
      <c r="V70" s="108">
        <f t="shared" si="31"/>
        <v>0</v>
      </c>
      <c r="W70" s="108">
        <f t="shared" si="32"/>
        <v>0</v>
      </c>
      <c r="X70" s="108">
        <f t="shared" si="33"/>
        <v>0</v>
      </c>
    </row>
    <row r="71" ht="15.75" customHeight="1">
      <c r="A71" s="104">
        <v>8.0</v>
      </c>
      <c r="B71" s="105">
        <f t="shared" si="12"/>
        <v>7</v>
      </c>
      <c r="C71" s="55" t="s">
        <v>123</v>
      </c>
      <c r="D71" s="106">
        <f t="shared" si="13"/>
        <v>7</v>
      </c>
      <c r="E71" s="107">
        <f t="shared" si="14"/>
        <v>0.5</v>
      </c>
      <c r="F71" s="108">
        <f t="shared" si="15"/>
        <v>0.5</v>
      </c>
      <c r="G71" s="108">
        <f t="shared" si="16"/>
        <v>0</v>
      </c>
      <c r="H71" s="108">
        <f t="shared" si="17"/>
        <v>0.5</v>
      </c>
      <c r="I71" s="108">
        <f t="shared" si="18"/>
        <v>0</v>
      </c>
      <c r="J71" s="108">
        <f t="shared" si="19"/>
        <v>0.5</v>
      </c>
      <c r="K71" s="108">
        <f t="shared" si="20"/>
        <v>0.5</v>
      </c>
      <c r="L71" s="108">
        <f t="shared" si="21"/>
        <v>0.5</v>
      </c>
      <c r="M71" s="108">
        <f t="shared" si="22"/>
        <v>0.5</v>
      </c>
      <c r="N71" s="108">
        <f t="shared" si="23"/>
        <v>0.5</v>
      </c>
      <c r="O71" s="108">
        <f t="shared" si="24"/>
        <v>0.5</v>
      </c>
      <c r="P71" s="108">
        <f t="shared" si="25"/>
        <v>0.5</v>
      </c>
      <c r="Q71" s="108">
        <f t="shared" si="26"/>
        <v>0.5</v>
      </c>
      <c r="R71" s="108">
        <f t="shared" si="27"/>
        <v>0</v>
      </c>
      <c r="S71" s="108">
        <f t="shared" si="28"/>
        <v>0</v>
      </c>
      <c r="T71" s="108">
        <f t="shared" si="29"/>
        <v>0.5</v>
      </c>
      <c r="U71" s="108">
        <f t="shared" si="30"/>
        <v>0.5</v>
      </c>
      <c r="V71" s="108">
        <f t="shared" si="31"/>
        <v>0</v>
      </c>
      <c r="W71" s="108">
        <f t="shared" si="32"/>
        <v>0.5</v>
      </c>
      <c r="X71" s="108">
        <f t="shared" si="33"/>
        <v>0</v>
      </c>
    </row>
    <row r="72" ht="15.75" customHeight="1">
      <c r="A72" s="104">
        <v>9.0</v>
      </c>
      <c r="B72" s="105">
        <f t="shared" si="12"/>
        <v>9.5</v>
      </c>
      <c r="C72" s="55" t="s">
        <v>125</v>
      </c>
      <c r="D72" s="106">
        <f t="shared" si="13"/>
        <v>9.5</v>
      </c>
      <c r="E72" s="107">
        <f t="shared" si="14"/>
        <v>0.5</v>
      </c>
      <c r="F72" s="108">
        <f t="shared" si="15"/>
        <v>0.5</v>
      </c>
      <c r="G72" s="108">
        <f t="shared" si="16"/>
        <v>0.5</v>
      </c>
      <c r="H72" s="108">
        <f t="shared" si="17"/>
        <v>0.5</v>
      </c>
      <c r="I72" s="108">
        <f t="shared" si="18"/>
        <v>0.5</v>
      </c>
      <c r="J72" s="108">
        <f t="shared" si="19"/>
        <v>0.5</v>
      </c>
      <c r="K72" s="108">
        <f t="shared" si="20"/>
        <v>0.5</v>
      </c>
      <c r="L72" s="108">
        <f t="shared" si="21"/>
        <v>0.5</v>
      </c>
      <c r="M72" s="108">
        <f t="shared" si="22"/>
        <v>0.5</v>
      </c>
      <c r="N72" s="108">
        <f t="shared" si="23"/>
        <v>0.5</v>
      </c>
      <c r="O72" s="108">
        <f t="shared" si="24"/>
        <v>0.5</v>
      </c>
      <c r="P72" s="108">
        <f t="shared" si="25"/>
        <v>0.5</v>
      </c>
      <c r="Q72" s="108">
        <f t="shared" si="26"/>
        <v>0.5</v>
      </c>
      <c r="R72" s="108">
        <f t="shared" si="27"/>
        <v>0</v>
      </c>
      <c r="S72" s="108">
        <f t="shared" si="28"/>
        <v>0.5</v>
      </c>
      <c r="T72" s="108">
        <f t="shared" si="29"/>
        <v>0.5</v>
      </c>
      <c r="U72" s="108">
        <f t="shared" si="30"/>
        <v>0.5</v>
      </c>
      <c r="V72" s="108">
        <f t="shared" si="31"/>
        <v>0.5</v>
      </c>
      <c r="W72" s="108">
        <f t="shared" si="32"/>
        <v>0.5</v>
      </c>
      <c r="X72" s="108">
        <f t="shared" si="33"/>
        <v>0.5</v>
      </c>
    </row>
    <row r="73" ht="15.75" customHeight="1">
      <c r="A73" s="104">
        <v>10.0</v>
      </c>
      <c r="B73" s="105">
        <f t="shared" si="12"/>
        <v>4.5</v>
      </c>
      <c r="C73" s="55" t="s">
        <v>127</v>
      </c>
      <c r="D73" s="106">
        <f t="shared" si="13"/>
        <v>4.5</v>
      </c>
      <c r="E73" s="107">
        <f t="shared" si="14"/>
        <v>0</v>
      </c>
      <c r="F73" s="108">
        <f t="shared" si="15"/>
        <v>0.5</v>
      </c>
      <c r="G73" s="108">
        <f t="shared" si="16"/>
        <v>0</v>
      </c>
      <c r="H73" s="108">
        <f t="shared" si="17"/>
        <v>0.5</v>
      </c>
      <c r="I73" s="108">
        <f t="shared" si="18"/>
        <v>0.5</v>
      </c>
      <c r="J73" s="108">
        <f t="shared" si="19"/>
        <v>0</v>
      </c>
      <c r="K73" s="108">
        <f t="shared" si="20"/>
        <v>0</v>
      </c>
      <c r="L73" s="108">
        <f t="shared" si="21"/>
        <v>0</v>
      </c>
      <c r="M73" s="108">
        <f t="shared" si="22"/>
        <v>0</v>
      </c>
      <c r="N73" s="108">
        <f t="shared" si="23"/>
        <v>0.5</v>
      </c>
      <c r="O73" s="108">
        <f t="shared" si="24"/>
        <v>0.5</v>
      </c>
      <c r="P73" s="108">
        <f t="shared" si="25"/>
        <v>0.5</v>
      </c>
      <c r="Q73" s="108">
        <f t="shared" si="26"/>
        <v>0.5</v>
      </c>
      <c r="R73" s="108">
        <f t="shared" si="27"/>
        <v>0</v>
      </c>
      <c r="S73" s="108">
        <f t="shared" si="28"/>
        <v>0</v>
      </c>
      <c r="T73" s="108">
        <f t="shared" si="29"/>
        <v>0.5</v>
      </c>
      <c r="U73" s="108">
        <f t="shared" si="30"/>
        <v>0.5</v>
      </c>
      <c r="V73" s="108">
        <f t="shared" si="31"/>
        <v>0</v>
      </c>
      <c r="W73" s="108">
        <f t="shared" si="32"/>
        <v>0</v>
      </c>
      <c r="X73" s="108">
        <f t="shared" si="33"/>
        <v>0</v>
      </c>
    </row>
    <row r="74" ht="15.75" customHeight="1">
      <c r="A74" s="104">
        <v>11.0</v>
      </c>
      <c r="B74" s="105">
        <f t="shared" si="12"/>
        <v>8</v>
      </c>
      <c r="C74" s="55" t="s">
        <v>129</v>
      </c>
      <c r="D74" s="106">
        <f t="shared" si="13"/>
        <v>8</v>
      </c>
      <c r="E74" s="107">
        <f t="shared" si="14"/>
        <v>0.5</v>
      </c>
      <c r="F74" s="108">
        <f t="shared" si="15"/>
        <v>0.5</v>
      </c>
      <c r="G74" s="108">
        <f t="shared" si="16"/>
        <v>0.5</v>
      </c>
      <c r="H74" s="108">
        <f t="shared" si="17"/>
        <v>0.5</v>
      </c>
      <c r="I74" s="108">
        <f t="shared" si="18"/>
        <v>0.5</v>
      </c>
      <c r="J74" s="108">
        <f t="shared" si="19"/>
        <v>0</v>
      </c>
      <c r="K74" s="108">
        <f t="shared" si="20"/>
        <v>0.5</v>
      </c>
      <c r="L74" s="108">
        <f t="shared" si="21"/>
        <v>0.5</v>
      </c>
      <c r="M74" s="108">
        <f t="shared" si="22"/>
        <v>0.5</v>
      </c>
      <c r="N74" s="108">
        <f t="shared" si="23"/>
        <v>0.5</v>
      </c>
      <c r="O74" s="108">
        <f t="shared" si="24"/>
        <v>0.5</v>
      </c>
      <c r="P74" s="108">
        <f t="shared" si="25"/>
        <v>0.5</v>
      </c>
      <c r="Q74" s="108">
        <f t="shared" si="26"/>
        <v>0.5</v>
      </c>
      <c r="R74" s="108">
        <f t="shared" si="27"/>
        <v>0</v>
      </c>
      <c r="S74" s="108">
        <f t="shared" si="28"/>
        <v>0.5</v>
      </c>
      <c r="T74" s="108">
        <f t="shared" si="29"/>
        <v>0.5</v>
      </c>
      <c r="U74" s="108">
        <f t="shared" si="30"/>
        <v>0.5</v>
      </c>
      <c r="V74" s="108">
        <f t="shared" si="31"/>
        <v>0</v>
      </c>
      <c r="W74" s="108">
        <f t="shared" si="32"/>
        <v>0.5</v>
      </c>
      <c r="X74" s="108">
        <f t="shared" si="33"/>
        <v>0</v>
      </c>
    </row>
    <row r="75" ht="15.75" customHeight="1">
      <c r="A75" s="104">
        <v>12.0</v>
      </c>
      <c r="B75" s="105">
        <f t="shared" si="12"/>
        <v>5</v>
      </c>
      <c r="C75" s="57" t="s">
        <v>131</v>
      </c>
      <c r="D75" s="106">
        <f t="shared" si="13"/>
        <v>5</v>
      </c>
      <c r="E75" s="107">
        <f t="shared" si="14"/>
        <v>0.5</v>
      </c>
      <c r="F75" s="108">
        <f t="shared" si="15"/>
        <v>0</v>
      </c>
      <c r="G75" s="108">
        <f t="shared" si="16"/>
        <v>0.5</v>
      </c>
      <c r="H75" s="108">
        <f t="shared" si="17"/>
        <v>0</v>
      </c>
      <c r="I75" s="108">
        <f t="shared" si="18"/>
        <v>0</v>
      </c>
      <c r="J75" s="108">
        <f t="shared" si="19"/>
        <v>0.5</v>
      </c>
      <c r="K75" s="108">
        <f t="shared" si="20"/>
        <v>0.5</v>
      </c>
      <c r="L75" s="108">
        <f t="shared" si="21"/>
        <v>0</v>
      </c>
      <c r="M75" s="108">
        <f t="shared" si="22"/>
        <v>0.5</v>
      </c>
      <c r="N75" s="108">
        <f t="shared" si="23"/>
        <v>0</v>
      </c>
      <c r="O75" s="108">
        <f t="shared" si="24"/>
        <v>0.5</v>
      </c>
      <c r="P75" s="108">
        <f t="shared" si="25"/>
        <v>0.5</v>
      </c>
      <c r="Q75" s="108">
        <f t="shared" si="26"/>
        <v>0</v>
      </c>
      <c r="R75" s="108">
        <f t="shared" si="27"/>
        <v>0</v>
      </c>
      <c r="S75" s="108">
        <f t="shared" si="28"/>
        <v>0</v>
      </c>
      <c r="T75" s="108">
        <f t="shared" si="29"/>
        <v>0.5</v>
      </c>
      <c r="U75" s="108">
        <f t="shared" si="30"/>
        <v>0.5</v>
      </c>
      <c r="V75" s="108">
        <f t="shared" si="31"/>
        <v>0</v>
      </c>
      <c r="W75" s="108">
        <f t="shared" si="32"/>
        <v>0</v>
      </c>
      <c r="X75" s="108">
        <f t="shared" si="33"/>
        <v>0.5</v>
      </c>
    </row>
    <row r="76" ht="15.75" customHeight="1">
      <c r="A76" s="104">
        <v>13.0</v>
      </c>
      <c r="B76" s="105">
        <f t="shared" si="12"/>
        <v>0</v>
      </c>
      <c r="C76" s="55" t="s">
        <v>133</v>
      </c>
      <c r="D76" s="106">
        <f t="shared" si="13"/>
        <v>0</v>
      </c>
      <c r="E76" s="107">
        <f t="shared" si="14"/>
        <v>0</v>
      </c>
      <c r="F76" s="108">
        <f t="shared" si="15"/>
        <v>0</v>
      </c>
      <c r="G76" s="108">
        <f t="shared" si="16"/>
        <v>0</v>
      </c>
      <c r="H76" s="108">
        <f t="shared" si="17"/>
        <v>0</v>
      </c>
      <c r="I76" s="108">
        <f t="shared" si="18"/>
        <v>0</v>
      </c>
      <c r="J76" s="108">
        <f t="shared" si="19"/>
        <v>0</v>
      </c>
      <c r="K76" s="108">
        <f t="shared" si="20"/>
        <v>0</v>
      </c>
      <c r="L76" s="108">
        <f t="shared" si="21"/>
        <v>0</v>
      </c>
      <c r="M76" s="108">
        <f t="shared" si="22"/>
        <v>0</v>
      </c>
      <c r="N76" s="108">
        <f t="shared" si="23"/>
        <v>0</v>
      </c>
      <c r="O76" s="108">
        <f t="shared" si="24"/>
        <v>0</v>
      </c>
      <c r="P76" s="108">
        <f t="shared" si="25"/>
        <v>0</v>
      </c>
      <c r="Q76" s="108">
        <f t="shared" si="26"/>
        <v>0</v>
      </c>
      <c r="R76" s="108">
        <f t="shared" si="27"/>
        <v>0</v>
      </c>
      <c r="S76" s="108">
        <f t="shared" si="28"/>
        <v>0</v>
      </c>
      <c r="T76" s="108">
        <f t="shared" si="29"/>
        <v>0</v>
      </c>
      <c r="U76" s="108">
        <f t="shared" si="30"/>
        <v>0</v>
      </c>
      <c r="V76" s="108">
        <f t="shared" si="31"/>
        <v>0</v>
      </c>
      <c r="W76" s="108">
        <f t="shared" si="32"/>
        <v>0</v>
      </c>
      <c r="X76" s="108">
        <f t="shared" si="33"/>
        <v>0</v>
      </c>
    </row>
    <row r="77" ht="15.75" customHeight="1">
      <c r="A77" s="104">
        <v>14.0</v>
      </c>
      <c r="B77" s="105">
        <f t="shared" si="12"/>
        <v>4</v>
      </c>
      <c r="C77" s="57" t="s">
        <v>135</v>
      </c>
      <c r="D77" s="106">
        <f t="shared" si="13"/>
        <v>4</v>
      </c>
      <c r="E77" s="107">
        <f t="shared" si="14"/>
        <v>0</v>
      </c>
      <c r="F77" s="108">
        <f t="shared" si="15"/>
        <v>0.5</v>
      </c>
      <c r="G77" s="108">
        <f t="shared" si="16"/>
        <v>0.5</v>
      </c>
      <c r="H77" s="108">
        <f t="shared" si="17"/>
        <v>0</v>
      </c>
      <c r="I77" s="108">
        <f t="shared" si="18"/>
        <v>0</v>
      </c>
      <c r="J77" s="108">
        <f t="shared" si="19"/>
        <v>0</v>
      </c>
      <c r="K77" s="108">
        <f t="shared" si="20"/>
        <v>0.5</v>
      </c>
      <c r="L77" s="108">
        <f t="shared" si="21"/>
        <v>0</v>
      </c>
      <c r="M77" s="108">
        <f t="shared" si="22"/>
        <v>0</v>
      </c>
      <c r="N77" s="108">
        <f t="shared" si="23"/>
        <v>0</v>
      </c>
      <c r="O77" s="108">
        <f t="shared" si="24"/>
        <v>0</v>
      </c>
      <c r="P77" s="108">
        <f t="shared" si="25"/>
        <v>0.5</v>
      </c>
      <c r="Q77" s="108">
        <f t="shared" si="26"/>
        <v>0.5</v>
      </c>
      <c r="R77" s="108">
        <f t="shared" si="27"/>
        <v>0.5</v>
      </c>
      <c r="S77" s="108">
        <f t="shared" si="28"/>
        <v>0</v>
      </c>
      <c r="T77" s="108">
        <f t="shared" si="29"/>
        <v>0.5</v>
      </c>
      <c r="U77" s="108">
        <f t="shared" si="30"/>
        <v>0.5</v>
      </c>
      <c r="V77" s="108">
        <f t="shared" si="31"/>
        <v>0</v>
      </c>
      <c r="W77" s="108">
        <f t="shared" si="32"/>
        <v>0</v>
      </c>
      <c r="X77" s="108">
        <f t="shared" si="33"/>
        <v>0</v>
      </c>
    </row>
    <row r="78" ht="15.75" customHeight="1">
      <c r="A78" s="104">
        <v>15.0</v>
      </c>
      <c r="B78" s="105">
        <f t="shared" si="12"/>
        <v>4.5</v>
      </c>
      <c r="C78" s="55" t="s">
        <v>137</v>
      </c>
      <c r="D78" s="106">
        <f t="shared" si="13"/>
        <v>4.5</v>
      </c>
      <c r="E78" s="107">
        <f t="shared" si="14"/>
        <v>0</v>
      </c>
      <c r="F78" s="108">
        <f t="shared" si="15"/>
        <v>0.5</v>
      </c>
      <c r="G78" s="108">
        <f t="shared" si="16"/>
        <v>0</v>
      </c>
      <c r="H78" s="108">
        <f t="shared" si="17"/>
        <v>0.5</v>
      </c>
      <c r="I78" s="108">
        <f t="shared" si="18"/>
        <v>0</v>
      </c>
      <c r="J78" s="108">
        <f t="shared" si="19"/>
        <v>0</v>
      </c>
      <c r="K78" s="108">
        <f t="shared" si="20"/>
        <v>0</v>
      </c>
      <c r="L78" s="108">
        <f t="shared" si="21"/>
        <v>0</v>
      </c>
      <c r="M78" s="108">
        <f t="shared" si="22"/>
        <v>0</v>
      </c>
      <c r="N78" s="108">
        <f t="shared" si="23"/>
        <v>0</v>
      </c>
      <c r="O78" s="108">
        <f t="shared" si="24"/>
        <v>0.5</v>
      </c>
      <c r="P78" s="108">
        <f t="shared" si="25"/>
        <v>0.5</v>
      </c>
      <c r="Q78" s="108">
        <f t="shared" si="26"/>
        <v>0.5</v>
      </c>
      <c r="R78" s="108">
        <f t="shared" si="27"/>
        <v>0</v>
      </c>
      <c r="S78" s="108">
        <f t="shared" si="28"/>
        <v>0.5</v>
      </c>
      <c r="T78" s="108">
        <f t="shared" si="29"/>
        <v>0.5</v>
      </c>
      <c r="U78" s="108">
        <f t="shared" si="30"/>
        <v>0.5</v>
      </c>
      <c r="V78" s="108">
        <f t="shared" si="31"/>
        <v>0</v>
      </c>
      <c r="W78" s="108">
        <f t="shared" si="32"/>
        <v>0.5</v>
      </c>
      <c r="X78" s="108">
        <f t="shared" si="33"/>
        <v>0</v>
      </c>
    </row>
    <row r="79" ht="15.75" customHeight="1">
      <c r="A79" s="104">
        <v>16.0</v>
      </c>
      <c r="B79" s="105">
        <f t="shared" si="12"/>
        <v>2.5</v>
      </c>
      <c r="C79" s="55" t="s">
        <v>139</v>
      </c>
      <c r="D79" s="106">
        <f t="shared" si="13"/>
        <v>2.5</v>
      </c>
      <c r="E79" s="107">
        <f t="shared" si="14"/>
        <v>0</v>
      </c>
      <c r="F79" s="108">
        <f t="shared" si="15"/>
        <v>0</v>
      </c>
      <c r="G79" s="108">
        <f t="shared" si="16"/>
        <v>0</v>
      </c>
      <c r="H79" s="108">
        <f t="shared" si="17"/>
        <v>0.5</v>
      </c>
      <c r="I79" s="108">
        <f t="shared" si="18"/>
        <v>0.5</v>
      </c>
      <c r="J79" s="108">
        <f t="shared" si="19"/>
        <v>0</v>
      </c>
      <c r="K79" s="108">
        <f t="shared" si="20"/>
        <v>0.5</v>
      </c>
      <c r="L79" s="108">
        <f t="shared" si="21"/>
        <v>0</v>
      </c>
      <c r="M79" s="108">
        <f t="shared" si="22"/>
        <v>0</v>
      </c>
      <c r="N79" s="108">
        <f t="shared" si="23"/>
        <v>0</v>
      </c>
      <c r="O79" s="108">
        <f t="shared" si="24"/>
        <v>0</v>
      </c>
      <c r="P79" s="108">
        <f t="shared" si="25"/>
        <v>0</v>
      </c>
      <c r="Q79" s="108">
        <f t="shared" si="26"/>
        <v>0</v>
      </c>
      <c r="R79" s="108">
        <f t="shared" si="27"/>
        <v>0</v>
      </c>
      <c r="S79" s="108">
        <f t="shared" si="28"/>
        <v>0</v>
      </c>
      <c r="T79" s="108">
        <f t="shared" si="29"/>
        <v>0.5</v>
      </c>
      <c r="U79" s="108">
        <f t="shared" si="30"/>
        <v>0</v>
      </c>
      <c r="V79" s="108">
        <f t="shared" si="31"/>
        <v>0.5</v>
      </c>
      <c r="W79" s="108">
        <f t="shared" si="32"/>
        <v>0</v>
      </c>
      <c r="X79" s="108">
        <f t="shared" si="33"/>
        <v>0</v>
      </c>
    </row>
    <row r="80" ht="15.75" customHeight="1">
      <c r="A80" s="104">
        <v>17.0</v>
      </c>
      <c r="B80" s="105">
        <f t="shared" si="12"/>
        <v>7.5</v>
      </c>
      <c r="C80" s="55" t="s">
        <v>141</v>
      </c>
      <c r="D80" s="106">
        <f t="shared" si="13"/>
        <v>7.5</v>
      </c>
      <c r="E80" s="107">
        <f t="shared" si="14"/>
        <v>0.5</v>
      </c>
      <c r="F80" s="108">
        <f t="shared" si="15"/>
        <v>0.5</v>
      </c>
      <c r="G80" s="108">
        <f t="shared" si="16"/>
        <v>0</v>
      </c>
      <c r="H80" s="108">
        <f t="shared" si="17"/>
        <v>0.5</v>
      </c>
      <c r="I80" s="108">
        <f t="shared" si="18"/>
        <v>0</v>
      </c>
      <c r="J80" s="108">
        <f t="shared" si="19"/>
        <v>0.5</v>
      </c>
      <c r="K80" s="108">
        <f t="shared" si="20"/>
        <v>0.5</v>
      </c>
      <c r="L80" s="108">
        <f t="shared" si="21"/>
        <v>0.5</v>
      </c>
      <c r="M80" s="108">
        <f t="shared" si="22"/>
        <v>0.5</v>
      </c>
      <c r="N80" s="108">
        <f t="shared" si="23"/>
        <v>0.5</v>
      </c>
      <c r="O80" s="108">
        <f t="shared" si="24"/>
        <v>0.5</v>
      </c>
      <c r="P80" s="108">
        <f t="shared" si="25"/>
        <v>0.5</v>
      </c>
      <c r="Q80" s="108">
        <f t="shared" si="26"/>
        <v>0.5</v>
      </c>
      <c r="R80" s="108">
        <f t="shared" si="27"/>
        <v>0</v>
      </c>
      <c r="S80" s="108">
        <f t="shared" si="28"/>
        <v>0.5</v>
      </c>
      <c r="T80" s="108">
        <f t="shared" si="29"/>
        <v>0.5</v>
      </c>
      <c r="U80" s="108">
        <f t="shared" si="30"/>
        <v>0.5</v>
      </c>
      <c r="V80" s="108">
        <f t="shared" si="31"/>
        <v>0</v>
      </c>
      <c r="W80" s="108">
        <f t="shared" si="32"/>
        <v>0.5</v>
      </c>
      <c r="X80" s="108">
        <f t="shared" si="33"/>
        <v>0</v>
      </c>
    </row>
    <row r="81" ht="15.75" customHeight="1">
      <c r="A81" s="104">
        <v>18.0</v>
      </c>
      <c r="B81" s="105">
        <f t="shared" si="12"/>
        <v>7</v>
      </c>
      <c r="C81" s="55" t="s">
        <v>143</v>
      </c>
      <c r="D81" s="106">
        <f t="shared" si="13"/>
        <v>7</v>
      </c>
      <c r="E81" s="107">
        <f t="shared" si="14"/>
        <v>0.5</v>
      </c>
      <c r="F81" s="108">
        <f t="shared" si="15"/>
        <v>0.5</v>
      </c>
      <c r="G81" s="108">
        <f t="shared" si="16"/>
        <v>0.5</v>
      </c>
      <c r="H81" s="108">
        <f t="shared" si="17"/>
        <v>0.5</v>
      </c>
      <c r="I81" s="108">
        <f t="shared" si="18"/>
        <v>0.5</v>
      </c>
      <c r="J81" s="108">
        <f t="shared" si="19"/>
        <v>0</v>
      </c>
      <c r="K81" s="108">
        <f t="shared" si="20"/>
        <v>0.5</v>
      </c>
      <c r="L81" s="108">
        <f t="shared" si="21"/>
        <v>0</v>
      </c>
      <c r="M81" s="108">
        <f t="shared" si="22"/>
        <v>0</v>
      </c>
      <c r="N81" s="108">
        <f t="shared" si="23"/>
        <v>0.5</v>
      </c>
      <c r="O81" s="108">
        <f t="shared" si="24"/>
        <v>0.5</v>
      </c>
      <c r="P81" s="108">
        <f t="shared" si="25"/>
        <v>0.5</v>
      </c>
      <c r="Q81" s="108">
        <f t="shared" si="26"/>
        <v>0.5</v>
      </c>
      <c r="R81" s="108">
        <f t="shared" si="27"/>
        <v>0</v>
      </c>
      <c r="S81" s="108">
        <f t="shared" si="28"/>
        <v>0.5</v>
      </c>
      <c r="T81" s="108">
        <f t="shared" si="29"/>
        <v>0.5</v>
      </c>
      <c r="U81" s="108">
        <f t="shared" si="30"/>
        <v>0.5</v>
      </c>
      <c r="V81" s="108">
        <f t="shared" si="31"/>
        <v>0</v>
      </c>
      <c r="W81" s="108">
        <f t="shared" si="32"/>
        <v>0.5</v>
      </c>
      <c r="X81" s="108">
        <f t="shared" si="33"/>
        <v>0</v>
      </c>
    </row>
    <row r="82" ht="15.75" customHeight="1">
      <c r="A82" s="104">
        <v>19.0</v>
      </c>
      <c r="B82" s="105">
        <f t="shared" si="12"/>
        <v>4</v>
      </c>
      <c r="C82" s="55" t="s">
        <v>145</v>
      </c>
      <c r="D82" s="106">
        <f t="shared" si="13"/>
        <v>4</v>
      </c>
      <c r="E82" s="107">
        <f t="shared" si="14"/>
        <v>0</v>
      </c>
      <c r="F82" s="108">
        <f t="shared" si="15"/>
        <v>0</v>
      </c>
      <c r="G82" s="108">
        <f t="shared" si="16"/>
        <v>0</v>
      </c>
      <c r="H82" s="108">
        <f t="shared" si="17"/>
        <v>0.5</v>
      </c>
      <c r="I82" s="108">
        <f t="shared" si="18"/>
        <v>0</v>
      </c>
      <c r="J82" s="108">
        <f t="shared" si="19"/>
        <v>0</v>
      </c>
      <c r="K82" s="108">
        <f t="shared" si="20"/>
        <v>0</v>
      </c>
      <c r="L82" s="108">
        <f t="shared" si="21"/>
        <v>0.5</v>
      </c>
      <c r="M82" s="108">
        <f t="shared" si="22"/>
        <v>0.5</v>
      </c>
      <c r="N82" s="108">
        <f t="shared" si="23"/>
        <v>0</v>
      </c>
      <c r="O82" s="108">
        <f t="shared" si="24"/>
        <v>0.5</v>
      </c>
      <c r="P82" s="108">
        <f t="shared" si="25"/>
        <v>0.5</v>
      </c>
      <c r="Q82" s="108">
        <f t="shared" si="26"/>
        <v>0</v>
      </c>
      <c r="R82" s="108">
        <f t="shared" si="27"/>
        <v>0</v>
      </c>
      <c r="S82" s="108">
        <f t="shared" si="28"/>
        <v>0</v>
      </c>
      <c r="T82" s="108">
        <f t="shared" si="29"/>
        <v>0.5</v>
      </c>
      <c r="U82" s="108">
        <f t="shared" si="30"/>
        <v>0.5</v>
      </c>
      <c r="V82" s="108">
        <f t="shared" si="31"/>
        <v>0</v>
      </c>
      <c r="W82" s="108">
        <f t="shared" si="32"/>
        <v>0</v>
      </c>
      <c r="X82" s="108">
        <f t="shared" si="33"/>
        <v>0.5</v>
      </c>
    </row>
    <row r="83" ht="15.75" customHeight="1">
      <c r="A83" s="104">
        <v>20.0</v>
      </c>
      <c r="B83" s="105">
        <f t="shared" si="12"/>
        <v>4.5</v>
      </c>
      <c r="C83" s="55" t="s">
        <v>147</v>
      </c>
      <c r="D83" s="106">
        <f t="shared" si="13"/>
        <v>4.5</v>
      </c>
      <c r="E83" s="107">
        <f t="shared" si="14"/>
        <v>0</v>
      </c>
      <c r="F83" s="108">
        <f t="shared" si="15"/>
        <v>0.5</v>
      </c>
      <c r="G83" s="108">
        <f t="shared" si="16"/>
        <v>0</v>
      </c>
      <c r="H83" s="108">
        <f t="shared" si="17"/>
        <v>0.5</v>
      </c>
      <c r="I83" s="108">
        <f t="shared" si="18"/>
        <v>0</v>
      </c>
      <c r="J83" s="108">
        <f t="shared" si="19"/>
        <v>0</v>
      </c>
      <c r="K83" s="108">
        <f t="shared" si="20"/>
        <v>0</v>
      </c>
      <c r="L83" s="108">
        <f t="shared" si="21"/>
        <v>0.5</v>
      </c>
      <c r="M83" s="108">
        <f t="shared" si="22"/>
        <v>0</v>
      </c>
      <c r="N83" s="108">
        <f t="shared" si="23"/>
        <v>0</v>
      </c>
      <c r="O83" s="108">
        <f t="shared" si="24"/>
        <v>0.5</v>
      </c>
      <c r="P83" s="108">
        <f t="shared" si="25"/>
        <v>0.5</v>
      </c>
      <c r="Q83" s="108">
        <f t="shared" si="26"/>
        <v>0.5</v>
      </c>
      <c r="R83" s="108">
        <f t="shared" si="27"/>
        <v>0.5</v>
      </c>
      <c r="S83" s="108">
        <f t="shared" si="28"/>
        <v>0</v>
      </c>
      <c r="T83" s="108">
        <f t="shared" si="29"/>
        <v>0.5</v>
      </c>
      <c r="U83" s="108">
        <f t="shared" si="30"/>
        <v>0.5</v>
      </c>
      <c r="V83" s="108">
        <f t="shared" si="31"/>
        <v>0</v>
      </c>
      <c r="W83" s="108">
        <f t="shared" si="32"/>
        <v>0</v>
      </c>
      <c r="X83" s="108">
        <f t="shared" si="33"/>
        <v>0</v>
      </c>
    </row>
    <row r="84" ht="15.75" customHeight="1">
      <c r="A84" s="104">
        <v>21.0</v>
      </c>
      <c r="B84" s="105">
        <f t="shared" si="12"/>
        <v>5.5</v>
      </c>
      <c r="C84" s="57" t="s">
        <v>149</v>
      </c>
      <c r="D84" s="106">
        <f t="shared" si="13"/>
        <v>5.5</v>
      </c>
      <c r="E84" s="107">
        <f t="shared" si="14"/>
        <v>0</v>
      </c>
      <c r="F84" s="108">
        <f t="shared" si="15"/>
        <v>0.5</v>
      </c>
      <c r="G84" s="108">
        <f t="shared" si="16"/>
        <v>0</v>
      </c>
      <c r="H84" s="108">
        <f t="shared" si="17"/>
        <v>0.5</v>
      </c>
      <c r="I84" s="108">
        <f t="shared" si="18"/>
        <v>0.5</v>
      </c>
      <c r="J84" s="108">
        <f t="shared" si="19"/>
        <v>0</v>
      </c>
      <c r="K84" s="108">
        <f t="shared" si="20"/>
        <v>0</v>
      </c>
      <c r="L84" s="108">
        <f t="shared" si="21"/>
        <v>0.5</v>
      </c>
      <c r="M84" s="108">
        <f t="shared" si="22"/>
        <v>0.5</v>
      </c>
      <c r="N84" s="108">
        <f t="shared" si="23"/>
        <v>0.5</v>
      </c>
      <c r="O84" s="108">
        <f t="shared" si="24"/>
        <v>0</v>
      </c>
      <c r="P84" s="108">
        <f t="shared" si="25"/>
        <v>0.5</v>
      </c>
      <c r="Q84" s="108">
        <f t="shared" si="26"/>
        <v>0.5</v>
      </c>
      <c r="R84" s="108">
        <f t="shared" si="27"/>
        <v>0</v>
      </c>
      <c r="S84" s="108">
        <f t="shared" si="28"/>
        <v>0</v>
      </c>
      <c r="T84" s="108">
        <f t="shared" si="29"/>
        <v>0.5</v>
      </c>
      <c r="U84" s="108">
        <f t="shared" si="30"/>
        <v>0.5</v>
      </c>
      <c r="V84" s="108">
        <f t="shared" si="31"/>
        <v>0</v>
      </c>
      <c r="W84" s="108">
        <f t="shared" si="32"/>
        <v>0</v>
      </c>
      <c r="X84" s="108">
        <f t="shared" si="33"/>
        <v>0.5</v>
      </c>
    </row>
    <row r="85" ht="15.75" customHeight="1">
      <c r="A85" s="104">
        <v>22.0</v>
      </c>
      <c r="B85" s="105">
        <f t="shared" si="12"/>
        <v>0</v>
      </c>
      <c r="C85" s="55" t="s">
        <v>151</v>
      </c>
      <c r="D85" s="106">
        <f t="shared" si="13"/>
        <v>0</v>
      </c>
      <c r="E85" s="107">
        <f t="shared" si="14"/>
        <v>0</v>
      </c>
      <c r="F85" s="108">
        <f t="shared" si="15"/>
        <v>0</v>
      </c>
      <c r="G85" s="108">
        <f t="shared" si="16"/>
        <v>0</v>
      </c>
      <c r="H85" s="108">
        <f t="shared" si="17"/>
        <v>0</v>
      </c>
      <c r="I85" s="108">
        <f t="shared" si="18"/>
        <v>0</v>
      </c>
      <c r="J85" s="108">
        <f t="shared" si="19"/>
        <v>0</v>
      </c>
      <c r="K85" s="108">
        <f t="shared" si="20"/>
        <v>0</v>
      </c>
      <c r="L85" s="108">
        <f t="shared" si="21"/>
        <v>0</v>
      </c>
      <c r="M85" s="108">
        <f t="shared" si="22"/>
        <v>0</v>
      </c>
      <c r="N85" s="108">
        <f t="shared" si="23"/>
        <v>0</v>
      </c>
      <c r="O85" s="108">
        <f t="shared" si="24"/>
        <v>0</v>
      </c>
      <c r="P85" s="108">
        <f t="shared" si="25"/>
        <v>0</v>
      </c>
      <c r="Q85" s="108">
        <f t="shared" si="26"/>
        <v>0</v>
      </c>
      <c r="R85" s="108">
        <f t="shared" si="27"/>
        <v>0</v>
      </c>
      <c r="S85" s="108">
        <f t="shared" si="28"/>
        <v>0</v>
      </c>
      <c r="T85" s="108">
        <f t="shared" si="29"/>
        <v>0</v>
      </c>
      <c r="U85" s="108">
        <f t="shared" si="30"/>
        <v>0</v>
      </c>
      <c r="V85" s="108">
        <f t="shared" si="31"/>
        <v>0</v>
      </c>
      <c r="W85" s="108">
        <f t="shared" si="32"/>
        <v>0</v>
      </c>
      <c r="X85" s="108">
        <f t="shared" si="33"/>
        <v>0</v>
      </c>
    </row>
    <row r="86" ht="15.75" customHeight="1">
      <c r="A86" s="104">
        <v>23.0</v>
      </c>
      <c r="B86" s="105">
        <f t="shared" si="12"/>
        <v>4.5</v>
      </c>
      <c r="C86" s="55" t="s">
        <v>153</v>
      </c>
      <c r="D86" s="106">
        <f t="shared" si="13"/>
        <v>4.5</v>
      </c>
      <c r="E86" s="107">
        <f t="shared" si="14"/>
        <v>0</v>
      </c>
      <c r="F86" s="108">
        <f t="shared" si="15"/>
        <v>0.5</v>
      </c>
      <c r="G86" s="108">
        <f t="shared" si="16"/>
        <v>0</v>
      </c>
      <c r="H86" s="108">
        <f t="shared" si="17"/>
        <v>0.5</v>
      </c>
      <c r="I86" s="108">
        <f t="shared" si="18"/>
        <v>0</v>
      </c>
      <c r="J86" s="108">
        <f t="shared" si="19"/>
        <v>0</v>
      </c>
      <c r="K86" s="108">
        <f t="shared" si="20"/>
        <v>0</v>
      </c>
      <c r="L86" s="108">
        <f t="shared" si="21"/>
        <v>0</v>
      </c>
      <c r="M86" s="108">
        <f t="shared" si="22"/>
        <v>0.5</v>
      </c>
      <c r="N86" s="108">
        <f t="shared" si="23"/>
        <v>0</v>
      </c>
      <c r="O86" s="108">
        <f t="shared" si="24"/>
        <v>0.5</v>
      </c>
      <c r="P86" s="108">
        <f t="shared" si="25"/>
        <v>0.5</v>
      </c>
      <c r="Q86" s="108">
        <f t="shared" si="26"/>
        <v>0.5</v>
      </c>
      <c r="R86" s="108">
        <f t="shared" si="27"/>
        <v>0</v>
      </c>
      <c r="S86" s="108">
        <f t="shared" si="28"/>
        <v>0.5</v>
      </c>
      <c r="T86" s="108">
        <f t="shared" si="29"/>
        <v>0.5</v>
      </c>
      <c r="U86" s="108">
        <f t="shared" si="30"/>
        <v>0.5</v>
      </c>
      <c r="V86" s="108">
        <f t="shared" si="31"/>
        <v>0</v>
      </c>
      <c r="W86" s="108">
        <f t="shared" si="32"/>
        <v>0</v>
      </c>
      <c r="X86" s="108">
        <f t="shared" si="33"/>
        <v>0</v>
      </c>
    </row>
    <row r="87" ht="15.75" customHeight="1">
      <c r="A87" s="104">
        <v>24.0</v>
      </c>
      <c r="B87" s="105">
        <f t="shared" si="12"/>
        <v>3.5</v>
      </c>
      <c r="C87" s="55" t="s">
        <v>155</v>
      </c>
      <c r="D87" s="106">
        <f t="shared" si="13"/>
        <v>3.5</v>
      </c>
      <c r="E87" s="107">
        <f t="shared" si="14"/>
        <v>0</v>
      </c>
      <c r="F87" s="108">
        <f t="shared" si="15"/>
        <v>0</v>
      </c>
      <c r="G87" s="108">
        <f t="shared" si="16"/>
        <v>0</v>
      </c>
      <c r="H87" s="108">
        <f t="shared" si="17"/>
        <v>0.5</v>
      </c>
      <c r="I87" s="108">
        <f t="shared" si="18"/>
        <v>0.5</v>
      </c>
      <c r="J87" s="108">
        <f t="shared" si="19"/>
        <v>0</v>
      </c>
      <c r="K87" s="108">
        <f t="shared" si="20"/>
        <v>0</v>
      </c>
      <c r="L87" s="108">
        <f t="shared" si="21"/>
        <v>0</v>
      </c>
      <c r="M87" s="108">
        <f t="shared" si="22"/>
        <v>0.5</v>
      </c>
      <c r="N87" s="108">
        <f t="shared" si="23"/>
        <v>0.5</v>
      </c>
      <c r="O87" s="108">
        <f t="shared" si="24"/>
        <v>0</v>
      </c>
      <c r="P87" s="108">
        <f t="shared" si="25"/>
        <v>0.5</v>
      </c>
      <c r="Q87" s="108">
        <f t="shared" si="26"/>
        <v>0.5</v>
      </c>
      <c r="R87" s="108">
        <f t="shared" si="27"/>
        <v>0</v>
      </c>
      <c r="S87" s="108">
        <f t="shared" si="28"/>
        <v>0</v>
      </c>
      <c r="T87" s="108">
        <f t="shared" si="29"/>
        <v>0.5</v>
      </c>
      <c r="U87" s="108">
        <f t="shared" si="30"/>
        <v>0</v>
      </c>
      <c r="V87" s="108">
        <f t="shared" si="31"/>
        <v>0</v>
      </c>
      <c r="W87" s="108">
        <f t="shared" si="32"/>
        <v>0</v>
      </c>
      <c r="X87" s="108">
        <f t="shared" si="33"/>
        <v>0</v>
      </c>
    </row>
    <row r="88" ht="15.75" customHeight="1">
      <c r="A88" s="104">
        <v>25.0</v>
      </c>
      <c r="B88" s="105">
        <f t="shared" si="12"/>
        <v>7</v>
      </c>
      <c r="C88" s="55" t="s">
        <v>157</v>
      </c>
      <c r="D88" s="106">
        <f t="shared" si="13"/>
        <v>7</v>
      </c>
      <c r="E88" s="107">
        <f t="shared" si="14"/>
        <v>0.5</v>
      </c>
      <c r="F88" s="108">
        <f t="shared" si="15"/>
        <v>0.5</v>
      </c>
      <c r="G88" s="108">
        <f t="shared" si="16"/>
        <v>0.5</v>
      </c>
      <c r="H88" s="108">
        <f t="shared" si="17"/>
        <v>0.5</v>
      </c>
      <c r="I88" s="108">
        <f t="shared" si="18"/>
        <v>0.5</v>
      </c>
      <c r="J88" s="108">
        <f t="shared" si="19"/>
        <v>0</v>
      </c>
      <c r="K88" s="108">
        <f t="shared" si="20"/>
        <v>0</v>
      </c>
      <c r="L88" s="108">
        <f t="shared" si="21"/>
        <v>0</v>
      </c>
      <c r="M88" s="108">
        <f t="shared" si="22"/>
        <v>0.5</v>
      </c>
      <c r="N88" s="108">
        <f t="shared" si="23"/>
        <v>0.5</v>
      </c>
      <c r="O88" s="108">
        <f t="shared" si="24"/>
        <v>0.5</v>
      </c>
      <c r="P88" s="108">
        <f t="shared" si="25"/>
        <v>0.5</v>
      </c>
      <c r="Q88" s="108">
        <f t="shared" si="26"/>
        <v>0.5</v>
      </c>
      <c r="R88" s="108">
        <f t="shared" si="27"/>
        <v>0</v>
      </c>
      <c r="S88" s="108">
        <f t="shared" si="28"/>
        <v>0.5</v>
      </c>
      <c r="T88" s="108">
        <f t="shared" si="29"/>
        <v>0.5</v>
      </c>
      <c r="U88" s="108">
        <f t="shared" si="30"/>
        <v>0.5</v>
      </c>
      <c r="V88" s="108">
        <f t="shared" si="31"/>
        <v>0</v>
      </c>
      <c r="W88" s="108">
        <f t="shared" si="32"/>
        <v>0.5</v>
      </c>
      <c r="X88" s="108">
        <f t="shared" si="33"/>
        <v>0</v>
      </c>
    </row>
    <row r="89" ht="15.75" customHeight="1">
      <c r="A89" s="104">
        <v>26.0</v>
      </c>
      <c r="B89" s="105">
        <f t="shared" si="12"/>
        <v>5.5</v>
      </c>
      <c r="C89" s="55" t="s">
        <v>159</v>
      </c>
      <c r="D89" s="106">
        <f t="shared" si="13"/>
        <v>5.5</v>
      </c>
      <c r="E89" s="107">
        <f t="shared" si="14"/>
        <v>0.5</v>
      </c>
      <c r="F89" s="108">
        <f t="shared" si="15"/>
        <v>0.5</v>
      </c>
      <c r="G89" s="108">
        <f t="shared" si="16"/>
        <v>0</v>
      </c>
      <c r="H89" s="108">
        <f t="shared" si="17"/>
        <v>0.5</v>
      </c>
      <c r="I89" s="108">
        <f t="shared" si="18"/>
        <v>0.5</v>
      </c>
      <c r="J89" s="108">
        <f t="shared" si="19"/>
        <v>0.5</v>
      </c>
      <c r="K89" s="108">
        <f t="shared" si="20"/>
        <v>0</v>
      </c>
      <c r="L89" s="108">
        <f t="shared" si="21"/>
        <v>0</v>
      </c>
      <c r="M89" s="108">
        <f t="shared" si="22"/>
        <v>0</v>
      </c>
      <c r="N89" s="108">
        <f t="shared" si="23"/>
        <v>0.5</v>
      </c>
      <c r="O89" s="108">
        <f t="shared" si="24"/>
        <v>0</v>
      </c>
      <c r="P89" s="108">
        <f t="shared" si="25"/>
        <v>0.5</v>
      </c>
      <c r="Q89" s="108">
        <f t="shared" si="26"/>
        <v>0.5</v>
      </c>
      <c r="R89" s="108">
        <f t="shared" si="27"/>
        <v>0</v>
      </c>
      <c r="S89" s="108">
        <f t="shared" si="28"/>
        <v>0</v>
      </c>
      <c r="T89" s="108">
        <f t="shared" si="29"/>
        <v>0.5</v>
      </c>
      <c r="U89" s="108">
        <f t="shared" si="30"/>
        <v>0.5</v>
      </c>
      <c r="V89" s="108">
        <f t="shared" si="31"/>
        <v>0.5</v>
      </c>
      <c r="W89" s="108">
        <f t="shared" si="32"/>
        <v>0</v>
      </c>
      <c r="X89" s="108">
        <f t="shared" si="33"/>
        <v>0</v>
      </c>
    </row>
    <row r="90" ht="15.75" customHeight="1">
      <c r="A90" s="104">
        <v>27.0</v>
      </c>
      <c r="B90" s="105">
        <f t="shared" si="12"/>
        <v>4</v>
      </c>
      <c r="C90" s="55" t="s">
        <v>161</v>
      </c>
      <c r="D90" s="106">
        <f t="shared" si="13"/>
        <v>4</v>
      </c>
      <c r="E90" s="107">
        <f t="shared" si="14"/>
        <v>0</v>
      </c>
      <c r="F90" s="108">
        <f t="shared" si="15"/>
        <v>0.5</v>
      </c>
      <c r="G90" s="108">
        <f t="shared" si="16"/>
        <v>0</v>
      </c>
      <c r="H90" s="108">
        <f t="shared" si="17"/>
        <v>0.5</v>
      </c>
      <c r="I90" s="108">
        <f t="shared" si="18"/>
        <v>0</v>
      </c>
      <c r="J90" s="108">
        <f t="shared" si="19"/>
        <v>0</v>
      </c>
      <c r="K90" s="108">
        <f t="shared" si="20"/>
        <v>0</v>
      </c>
      <c r="L90" s="108">
        <f t="shared" si="21"/>
        <v>0</v>
      </c>
      <c r="M90" s="108">
        <f t="shared" si="22"/>
        <v>0</v>
      </c>
      <c r="N90" s="108">
        <f t="shared" si="23"/>
        <v>0</v>
      </c>
      <c r="O90" s="108">
        <f t="shared" si="24"/>
        <v>0.5</v>
      </c>
      <c r="P90" s="108">
        <f t="shared" si="25"/>
        <v>0.5</v>
      </c>
      <c r="Q90" s="108">
        <f t="shared" si="26"/>
        <v>0.5</v>
      </c>
      <c r="R90" s="108">
        <f t="shared" si="27"/>
        <v>0</v>
      </c>
      <c r="S90" s="108">
        <f t="shared" si="28"/>
        <v>0</v>
      </c>
      <c r="T90" s="108">
        <f t="shared" si="29"/>
        <v>0.5</v>
      </c>
      <c r="U90" s="108">
        <f t="shared" si="30"/>
        <v>0.5</v>
      </c>
      <c r="V90" s="108">
        <f t="shared" si="31"/>
        <v>0</v>
      </c>
      <c r="W90" s="108">
        <f t="shared" si="32"/>
        <v>0.5</v>
      </c>
      <c r="X90" s="108">
        <f t="shared" si="33"/>
        <v>0</v>
      </c>
    </row>
    <row r="91" ht="15.75" customHeight="1">
      <c r="A91" s="104">
        <v>28.0</v>
      </c>
      <c r="B91" s="105">
        <f t="shared" si="12"/>
        <v>4</v>
      </c>
      <c r="C91" s="55" t="s">
        <v>163</v>
      </c>
      <c r="D91" s="106">
        <f t="shared" si="13"/>
        <v>4</v>
      </c>
      <c r="E91" s="107">
        <f t="shared" si="14"/>
        <v>0</v>
      </c>
      <c r="F91" s="108">
        <f t="shared" si="15"/>
        <v>0.5</v>
      </c>
      <c r="G91" s="108">
        <f t="shared" si="16"/>
        <v>0</v>
      </c>
      <c r="H91" s="108">
        <f t="shared" si="17"/>
        <v>0.5</v>
      </c>
      <c r="I91" s="108">
        <f t="shared" si="18"/>
        <v>0</v>
      </c>
      <c r="J91" s="108">
        <f t="shared" si="19"/>
        <v>0.5</v>
      </c>
      <c r="K91" s="108">
        <f t="shared" si="20"/>
        <v>0</v>
      </c>
      <c r="L91" s="108">
        <f t="shared" si="21"/>
        <v>0</v>
      </c>
      <c r="M91" s="108">
        <f t="shared" si="22"/>
        <v>0</v>
      </c>
      <c r="N91" s="108">
        <f t="shared" si="23"/>
        <v>0</v>
      </c>
      <c r="O91" s="108">
        <f t="shared" si="24"/>
        <v>0</v>
      </c>
      <c r="P91" s="108">
        <f t="shared" si="25"/>
        <v>0.5</v>
      </c>
      <c r="Q91" s="108">
        <f t="shared" si="26"/>
        <v>0.5</v>
      </c>
      <c r="R91" s="108">
        <f t="shared" si="27"/>
        <v>0</v>
      </c>
      <c r="S91" s="108">
        <f t="shared" si="28"/>
        <v>0</v>
      </c>
      <c r="T91" s="108">
        <f t="shared" si="29"/>
        <v>0.5</v>
      </c>
      <c r="U91" s="108">
        <f t="shared" si="30"/>
        <v>0.5</v>
      </c>
      <c r="V91" s="108">
        <f t="shared" si="31"/>
        <v>0</v>
      </c>
      <c r="W91" s="108">
        <f t="shared" si="32"/>
        <v>0</v>
      </c>
      <c r="X91" s="108">
        <f t="shared" si="33"/>
        <v>0.5</v>
      </c>
    </row>
    <row r="92" ht="15.75" customHeight="1">
      <c r="A92" s="104">
        <v>29.0</v>
      </c>
      <c r="B92" s="105">
        <f t="shared" si="12"/>
        <v>6.5</v>
      </c>
      <c r="C92" s="55" t="s">
        <v>165</v>
      </c>
      <c r="D92" s="106">
        <f t="shared" si="13"/>
        <v>6.5</v>
      </c>
      <c r="E92" s="107">
        <f t="shared" si="14"/>
        <v>0.5</v>
      </c>
      <c r="F92" s="108">
        <f t="shared" si="15"/>
        <v>0.5</v>
      </c>
      <c r="G92" s="108">
        <f t="shared" si="16"/>
        <v>0.5</v>
      </c>
      <c r="H92" s="108">
        <f t="shared" si="17"/>
        <v>0.5</v>
      </c>
      <c r="I92" s="108">
        <f t="shared" si="18"/>
        <v>0.5</v>
      </c>
      <c r="J92" s="108">
        <f t="shared" si="19"/>
        <v>0.5</v>
      </c>
      <c r="K92" s="108">
        <f t="shared" si="20"/>
        <v>0</v>
      </c>
      <c r="L92" s="108">
        <f t="shared" si="21"/>
        <v>0.5</v>
      </c>
      <c r="M92" s="108">
        <f t="shared" si="22"/>
        <v>0</v>
      </c>
      <c r="N92" s="108">
        <f t="shared" si="23"/>
        <v>0.5</v>
      </c>
      <c r="O92" s="108">
        <f t="shared" si="24"/>
        <v>0.5</v>
      </c>
      <c r="P92" s="108">
        <f t="shared" si="25"/>
        <v>0.5</v>
      </c>
      <c r="Q92" s="108">
        <f t="shared" si="26"/>
        <v>0.5</v>
      </c>
      <c r="R92" s="108">
        <f t="shared" si="27"/>
        <v>0</v>
      </c>
      <c r="S92" s="108">
        <f t="shared" si="28"/>
        <v>0</v>
      </c>
      <c r="T92" s="108">
        <f t="shared" si="29"/>
        <v>0.5</v>
      </c>
      <c r="U92" s="108">
        <f t="shared" si="30"/>
        <v>0.5</v>
      </c>
      <c r="V92" s="108">
        <f t="shared" si="31"/>
        <v>0</v>
      </c>
      <c r="W92" s="108">
        <f t="shared" si="32"/>
        <v>0</v>
      </c>
      <c r="X92" s="108">
        <f t="shared" si="33"/>
        <v>0</v>
      </c>
    </row>
    <row r="93" ht="15.75" customHeight="1">
      <c r="A93" s="104">
        <v>30.0</v>
      </c>
      <c r="B93" s="105">
        <f t="shared" si="12"/>
        <v>3</v>
      </c>
      <c r="C93" s="55" t="s">
        <v>167</v>
      </c>
      <c r="D93" s="106">
        <f t="shared" si="13"/>
        <v>3</v>
      </c>
      <c r="E93" s="107">
        <f t="shared" si="14"/>
        <v>0</v>
      </c>
      <c r="F93" s="108">
        <f t="shared" si="15"/>
        <v>0</v>
      </c>
      <c r="G93" s="108">
        <f t="shared" si="16"/>
        <v>0</v>
      </c>
      <c r="H93" s="108">
        <f t="shared" si="17"/>
        <v>0.5</v>
      </c>
      <c r="I93" s="108">
        <f t="shared" si="18"/>
        <v>0</v>
      </c>
      <c r="J93" s="108">
        <f t="shared" si="19"/>
        <v>0</v>
      </c>
      <c r="K93" s="108">
        <f t="shared" si="20"/>
        <v>0</v>
      </c>
      <c r="L93" s="108">
        <f t="shared" si="21"/>
        <v>0.5</v>
      </c>
      <c r="M93" s="108">
        <f t="shared" si="22"/>
        <v>0</v>
      </c>
      <c r="N93" s="108">
        <f t="shared" si="23"/>
        <v>0</v>
      </c>
      <c r="O93" s="108">
        <f t="shared" si="24"/>
        <v>0</v>
      </c>
      <c r="P93" s="108">
        <f t="shared" si="25"/>
        <v>0.5</v>
      </c>
      <c r="Q93" s="108">
        <f t="shared" si="26"/>
        <v>0.5</v>
      </c>
      <c r="R93" s="108">
        <f t="shared" si="27"/>
        <v>0</v>
      </c>
      <c r="S93" s="108">
        <f t="shared" si="28"/>
        <v>0</v>
      </c>
      <c r="T93" s="108">
        <f t="shared" si="29"/>
        <v>0.5</v>
      </c>
      <c r="U93" s="108">
        <f t="shared" si="30"/>
        <v>0.5</v>
      </c>
      <c r="V93" s="108">
        <f t="shared" si="31"/>
        <v>0</v>
      </c>
      <c r="W93" s="108">
        <f t="shared" si="32"/>
        <v>0</v>
      </c>
      <c r="X93" s="108">
        <f t="shared" si="33"/>
        <v>0</v>
      </c>
    </row>
    <row r="94" ht="15.75" customHeight="1">
      <c r="A94" s="104">
        <v>31.0</v>
      </c>
      <c r="B94" s="105">
        <f t="shared" si="12"/>
        <v>6</v>
      </c>
      <c r="C94" s="55" t="s">
        <v>169</v>
      </c>
      <c r="D94" s="106">
        <f t="shared" si="13"/>
        <v>6</v>
      </c>
      <c r="E94" s="107">
        <f t="shared" si="14"/>
        <v>0</v>
      </c>
      <c r="F94" s="108">
        <f t="shared" si="15"/>
        <v>0.5</v>
      </c>
      <c r="G94" s="108">
        <f t="shared" si="16"/>
        <v>0</v>
      </c>
      <c r="H94" s="108">
        <f t="shared" si="17"/>
        <v>0.5</v>
      </c>
      <c r="I94" s="108">
        <f t="shared" si="18"/>
        <v>0</v>
      </c>
      <c r="J94" s="108">
        <f t="shared" si="19"/>
        <v>0.5</v>
      </c>
      <c r="K94" s="108">
        <f t="shared" si="20"/>
        <v>0</v>
      </c>
      <c r="L94" s="108">
        <f t="shared" si="21"/>
        <v>0.5</v>
      </c>
      <c r="M94" s="108">
        <f t="shared" si="22"/>
        <v>0.5</v>
      </c>
      <c r="N94" s="108">
        <f t="shared" si="23"/>
        <v>0</v>
      </c>
      <c r="O94" s="108">
        <f t="shared" si="24"/>
        <v>0.5</v>
      </c>
      <c r="P94" s="108">
        <f t="shared" si="25"/>
        <v>0.5</v>
      </c>
      <c r="Q94" s="108">
        <f t="shared" si="26"/>
        <v>0.5</v>
      </c>
      <c r="R94" s="108">
        <f t="shared" si="27"/>
        <v>0</v>
      </c>
      <c r="S94" s="108">
        <f t="shared" si="28"/>
        <v>0.5</v>
      </c>
      <c r="T94" s="108">
        <f t="shared" si="29"/>
        <v>0.5</v>
      </c>
      <c r="U94" s="108">
        <f t="shared" si="30"/>
        <v>0.5</v>
      </c>
      <c r="V94" s="108">
        <f t="shared" si="31"/>
        <v>0</v>
      </c>
      <c r="W94" s="108">
        <f t="shared" si="32"/>
        <v>0.5</v>
      </c>
      <c r="X94" s="108">
        <f t="shared" si="33"/>
        <v>0</v>
      </c>
    </row>
    <row r="95" ht="15.75" customHeight="1">
      <c r="A95" s="109">
        <v>32.0</v>
      </c>
      <c r="B95" s="105">
        <f t="shared" si="12"/>
        <v>5</v>
      </c>
      <c r="C95" s="55" t="s">
        <v>171</v>
      </c>
      <c r="D95" s="106">
        <f t="shared" si="13"/>
        <v>5</v>
      </c>
      <c r="E95" s="107">
        <f t="shared" si="14"/>
        <v>0</v>
      </c>
      <c r="F95" s="108">
        <f t="shared" si="15"/>
        <v>0.5</v>
      </c>
      <c r="G95" s="108">
        <f t="shared" si="16"/>
        <v>0</v>
      </c>
      <c r="H95" s="108">
        <f t="shared" si="17"/>
        <v>0</v>
      </c>
      <c r="I95" s="108">
        <f t="shared" si="18"/>
        <v>0</v>
      </c>
      <c r="J95" s="108">
        <f t="shared" si="19"/>
        <v>0.5</v>
      </c>
      <c r="K95" s="108">
        <f t="shared" si="20"/>
        <v>0</v>
      </c>
      <c r="L95" s="108">
        <f t="shared" si="21"/>
        <v>0.5</v>
      </c>
      <c r="M95" s="108">
        <f t="shared" si="22"/>
        <v>0.5</v>
      </c>
      <c r="N95" s="108">
        <f t="shared" si="23"/>
        <v>0</v>
      </c>
      <c r="O95" s="108">
        <f t="shared" si="24"/>
        <v>0.5</v>
      </c>
      <c r="P95" s="108">
        <f t="shared" si="25"/>
        <v>0.5</v>
      </c>
      <c r="Q95" s="108">
        <f t="shared" si="26"/>
        <v>0.5</v>
      </c>
      <c r="R95" s="108">
        <f t="shared" si="27"/>
        <v>0</v>
      </c>
      <c r="S95" s="108">
        <f t="shared" si="28"/>
        <v>0.5</v>
      </c>
      <c r="T95" s="108">
        <f t="shared" si="29"/>
        <v>0.5</v>
      </c>
      <c r="U95" s="108">
        <f t="shared" si="30"/>
        <v>0.5</v>
      </c>
      <c r="V95" s="108">
        <f t="shared" si="31"/>
        <v>0</v>
      </c>
      <c r="W95" s="108">
        <f t="shared" si="32"/>
        <v>0</v>
      </c>
      <c r="X95" s="108">
        <f t="shared" si="33"/>
        <v>0</v>
      </c>
    </row>
    <row r="96" ht="15.75" customHeight="1">
      <c r="A96" s="109">
        <v>33.0</v>
      </c>
      <c r="B96" s="105">
        <f t="shared" si="12"/>
        <v>3</v>
      </c>
      <c r="C96" s="58" t="s">
        <v>173</v>
      </c>
      <c r="D96" s="106">
        <f t="shared" si="13"/>
        <v>3</v>
      </c>
      <c r="E96" s="107">
        <f t="shared" si="14"/>
        <v>0</v>
      </c>
      <c r="F96" s="108">
        <f t="shared" si="15"/>
        <v>0</v>
      </c>
      <c r="G96" s="108">
        <f t="shared" si="16"/>
        <v>0</v>
      </c>
      <c r="H96" s="108">
        <f t="shared" si="17"/>
        <v>0.5</v>
      </c>
      <c r="I96" s="108">
        <f t="shared" si="18"/>
        <v>0.5</v>
      </c>
      <c r="J96" s="108">
        <f t="shared" si="19"/>
        <v>0</v>
      </c>
      <c r="K96" s="108">
        <f t="shared" si="20"/>
        <v>0</v>
      </c>
      <c r="L96" s="108">
        <f t="shared" si="21"/>
        <v>0.5</v>
      </c>
      <c r="M96" s="108">
        <f t="shared" si="22"/>
        <v>0</v>
      </c>
      <c r="N96" s="108">
        <f t="shared" si="23"/>
        <v>0</v>
      </c>
      <c r="O96" s="108">
        <f t="shared" si="24"/>
        <v>0</v>
      </c>
      <c r="P96" s="108">
        <f t="shared" si="25"/>
        <v>0</v>
      </c>
      <c r="Q96" s="108">
        <f t="shared" si="26"/>
        <v>0.5</v>
      </c>
      <c r="R96" s="108">
        <f t="shared" si="27"/>
        <v>0</v>
      </c>
      <c r="S96" s="108">
        <f t="shared" si="28"/>
        <v>0</v>
      </c>
      <c r="T96" s="108">
        <f t="shared" si="29"/>
        <v>0.5</v>
      </c>
      <c r="U96" s="108">
        <f t="shared" si="30"/>
        <v>0</v>
      </c>
      <c r="V96" s="108">
        <f t="shared" si="31"/>
        <v>0.5</v>
      </c>
      <c r="W96" s="108">
        <f t="shared" si="32"/>
        <v>0</v>
      </c>
      <c r="X96" s="108">
        <f t="shared" si="33"/>
        <v>0</v>
      </c>
    </row>
    <row r="97" ht="15.75" customHeight="1">
      <c r="A97" s="109">
        <v>34.0</v>
      </c>
      <c r="B97" s="105">
        <f t="shared" si="12"/>
        <v>4.5</v>
      </c>
      <c r="C97" s="55" t="s">
        <v>175</v>
      </c>
      <c r="D97" s="106">
        <f t="shared" si="13"/>
        <v>4.5</v>
      </c>
      <c r="E97" s="107">
        <f t="shared" si="14"/>
        <v>0</v>
      </c>
      <c r="F97" s="108">
        <f t="shared" si="15"/>
        <v>0.5</v>
      </c>
      <c r="G97" s="108">
        <f t="shared" si="16"/>
        <v>0.5</v>
      </c>
      <c r="H97" s="108">
        <f t="shared" si="17"/>
        <v>0.5</v>
      </c>
      <c r="I97" s="108">
        <f t="shared" si="18"/>
        <v>0</v>
      </c>
      <c r="J97" s="108">
        <f t="shared" si="19"/>
        <v>0</v>
      </c>
      <c r="K97" s="108">
        <f t="shared" si="20"/>
        <v>0.5</v>
      </c>
      <c r="L97" s="108">
        <f t="shared" si="21"/>
        <v>0</v>
      </c>
      <c r="M97" s="108">
        <f t="shared" si="22"/>
        <v>0.5</v>
      </c>
      <c r="N97" s="108">
        <f t="shared" si="23"/>
        <v>0</v>
      </c>
      <c r="O97" s="108">
        <f t="shared" si="24"/>
        <v>0</v>
      </c>
      <c r="P97" s="108">
        <f t="shared" si="25"/>
        <v>0.5</v>
      </c>
      <c r="Q97" s="108">
        <f t="shared" si="26"/>
        <v>0.5</v>
      </c>
      <c r="R97" s="108">
        <f t="shared" si="27"/>
        <v>0</v>
      </c>
      <c r="S97" s="108">
        <f t="shared" si="28"/>
        <v>0</v>
      </c>
      <c r="T97" s="108">
        <f t="shared" si="29"/>
        <v>0.5</v>
      </c>
      <c r="U97" s="108">
        <f t="shared" si="30"/>
        <v>0.5</v>
      </c>
      <c r="V97" s="108">
        <f t="shared" si="31"/>
        <v>0</v>
      </c>
      <c r="W97" s="108">
        <f t="shared" si="32"/>
        <v>0</v>
      </c>
      <c r="X97" s="108">
        <f t="shared" si="33"/>
        <v>0</v>
      </c>
    </row>
    <row r="98" ht="15.75" customHeight="1">
      <c r="A98" s="109">
        <v>35.0</v>
      </c>
      <c r="B98" s="105">
        <f t="shared" si="12"/>
        <v>5.5</v>
      </c>
      <c r="C98" s="55" t="s">
        <v>177</v>
      </c>
      <c r="D98" s="106">
        <f t="shared" si="13"/>
        <v>5.5</v>
      </c>
      <c r="E98" s="107">
        <f t="shared" si="14"/>
        <v>0</v>
      </c>
      <c r="F98" s="108">
        <f t="shared" si="15"/>
        <v>0.5</v>
      </c>
      <c r="G98" s="108">
        <f t="shared" si="16"/>
        <v>0</v>
      </c>
      <c r="H98" s="108">
        <f t="shared" si="17"/>
        <v>0.5</v>
      </c>
      <c r="I98" s="108">
        <f t="shared" si="18"/>
        <v>0</v>
      </c>
      <c r="J98" s="108">
        <f t="shared" si="19"/>
        <v>0.5</v>
      </c>
      <c r="K98" s="108">
        <f t="shared" si="20"/>
        <v>0</v>
      </c>
      <c r="L98" s="108">
        <f t="shared" si="21"/>
        <v>0.5</v>
      </c>
      <c r="M98" s="108">
        <f t="shared" si="22"/>
        <v>0</v>
      </c>
      <c r="N98" s="108">
        <f t="shared" si="23"/>
        <v>0</v>
      </c>
      <c r="O98" s="108">
        <f t="shared" si="24"/>
        <v>0.5</v>
      </c>
      <c r="P98" s="108">
        <f t="shared" si="25"/>
        <v>0.5</v>
      </c>
      <c r="Q98" s="108">
        <f t="shared" si="26"/>
        <v>0.5</v>
      </c>
      <c r="R98" s="108">
        <f t="shared" si="27"/>
        <v>0.5</v>
      </c>
      <c r="S98" s="108">
        <f t="shared" si="28"/>
        <v>0</v>
      </c>
      <c r="T98" s="108">
        <f t="shared" si="29"/>
        <v>0.5</v>
      </c>
      <c r="U98" s="108">
        <f t="shared" si="30"/>
        <v>0.5</v>
      </c>
      <c r="V98" s="108">
        <f t="shared" si="31"/>
        <v>0</v>
      </c>
      <c r="W98" s="108">
        <f t="shared" si="32"/>
        <v>0.5</v>
      </c>
      <c r="X98" s="108">
        <f t="shared" si="33"/>
        <v>0</v>
      </c>
    </row>
    <row r="99" ht="15.75" customHeight="1">
      <c r="A99" s="109">
        <v>36.0</v>
      </c>
      <c r="B99" s="105">
        <f t="shared" si="12"/>
        <v>6</v>
      </c>
      <c r="C99" s="55" t="s">
        <v>179</v>
      </c>
      <c r="D99" s="106">
        <f t="shared" si="13"/>
        <v>6</v>
      </c>
      <c r="E99" s="107">
        <f t="shared" si="14"/>
        <v>0</v>
      </c>
      <c r="F99" s="108">
        <f t="shared" si="15"/>
        <v>0.5</v>
      </c>
      <c r="G99" s="108">
        <f t="shared" si="16"/>
        <v>0</v>
      </c>
      <c r="H99" s="108">
        <f t="shared" si="17"/>
        <v>0.5</v>
      </c>
      <c r="I99" s="108">
        <f t="shared" si="18"/>
        <v>0</v>
      </c>
      <c r="J99" s="108">
        <f t="shared" si="19"/>
        <v>0</v>
      </c>
      <c r="K99" s="108">
        <f t="shared" si="20"/>
        <v>0</v>
      </c>
      <c r="L99" s="108">
        <f t="shared" si="21"/>
        <v>0.5</v>
      </c>
      <c r="M99" s="108">
        <f t="shared" si="22"/>
        <v>0.5</v>
      </c>
      <c r="N99" s="108">
        <f t="shared" si="23"/>
        <v>0.5</v>
      </c>
      <c r="O99" s="108">
        <f t="shared" si="24"/>
        <v>0.5</v>
      </c>
      <c r="P99" s="108">
        <f t="shared" si="25"/>
        <v>0.5</v>
      </c>
      <c r="Q99" s="108">
        <f t="shared" si="26"/>
        <v>0.5</v>
      </c>
      <c r="R99" s="108">
        <f t="shared" si="27"/>
        <v>0</v>
      </c>
      <c r="S99" s="108">
        <f t="shared" si="28"/>
        <v>0</v>
      </c>
      <c r="T99" s="108">
        <f t="shared" si="29"/>
        <v>0.5</v>
      </c>
      <c r="U99" s="108">
        <f t="shared" si="30"/>
        <v>0.5</v>
      </c>
      <c r="V99" s="108">
        <f t="shared" si="31"/>
        <v>0</v>
      </c>
      <c r="W99" s="108">
        <f t="shared" si="32"/>
        <v>0.5</v>
      </c>
      <c r="X99" s="108">
        <f t="shared" si="33"/>
        <v>0.5</v>
      </c>
    </row>
    <row r="100" ht="15.75" customHeight="1">
      <c r="A100" s="109">
        <v>37.0</v>
      </c>
      <c r="B100" s="105">
        <f t="shared" si="12"/>
        <v>4.5</v>
      </c>
      <c r="C100" s="55" t="s">
        <v>181</v>
      </c>
      <c r="D100" s="106">
        <f t="shared" si="13"/>
        <v>4.5</v>
      </c>
      <c r="E100" s="107">
        <f t="shared" si="14"/>
        <v>0</v>
      </c>
      <c r="F100" s="108">
        <f t="shared" si="15"/>
        <v>0.5</v>
      </c>
      <c r="G100" s="108">
        <f t="shared" si="16"/>
        <v>0</v>
      </c>
      <c r="H100" s="108">
        <f t="shared" si="17"/>
        <v>0.5</v>
      </c>
      <c r="I100" s="108">
        <f t="shared" si="18"/>
        <v>0</v>
      </c>
      <c r="J100" s="108">
        <f t="shared" si="19"/>
        <v>0.5</v>
      </c>
      <c r="K100" s="108">
        <f t="shared" si="20"/>
        <v>0</v>
      </c>
      <c r="L100" s="108">
        <f t="shared" si="21"/>
        <v>0</v>
      </c>
      <c r="M100" s="108">
        <f t="shared" si="22"/>
        <v>0</v>
      </c>
      <c r="N100" s="108">
        <f t="shared" si="23"/>
        <v>0.5</v>
      </c>
      <c r="O100" s="108">
        <f t="shared" si="24"/>
        <v>0.5</v>
      </c>
      <c r="P100" s="108">
        <f t="shared" si="25"/>
        <v>0.5</v>
      </c>
      <c r="Q100" s="108">
        <f t="shared" si="26"/>
        <v>0.5</v>
      </c>
      <c r="R100" s="108">
        <f t="shared" si="27"/>
        <v>0</v>
      </c>
      <c r="S100" s="108">
        <f t="shared" si="28"/>
        <v>0</v>
      </c>
      <c r="T100" s="108">
        <f t="shared" si="29"/>
        <v>0.5</v>
      </c>
      <c r="U100" s="108">
        <f t="shared" si="30"/>
        <v>0</v>
      </c>
      <c r="V100" s="108">
        <f t="shared" si="31"/>
        <v>0</v>
      </c>
      <c r="W100" s="108">
        <f t="shared" si="32"/>
        <v>0</v>
      </c>
      <c r="X100" s="108">
        <f t="shared" si="33"/>
        <v>0.5</v>
      </c>
    </row>
    <row r="101" ht="15.75" customHeight="1">
      <c r="A101" s="110">
        <v>38.0</v>
      </c>
      <c r="B101" s="111">
        <f t="shared" si="12"/>
        <v>3</v>
      </c>
      <c r="C101" s="117" t="s">
        <v>183</v>
      </c>
      <c r="D101" s="112">
        <f t="shared" si="13"/>
        <v>3</v>
      </c>
      <c r="E101" s="113">
        <f t="shared" si="14"/>
        <v>0</v>
      </c>
      <c r="F101" s="114">
        <f t="shared" si="15"/>
        <v>0</v>
      </c>
      <c r="G101" s="114">
        <f t="shared" si="16"/>
        <v>0</v>
      </c>
      <c r="H101" s="114">
        <f t="shared" si="17"/>
        <v>0</v>
      </c>
      <c r="I101" s="114">
        <f t="shared" si="18"/>
        <v>0</v>
      </c>
      <c r="J101" s="114">
        <f t="shared" si="19"/>
        <v>0.5</v>
      </c>
      <c r="K101" s="114">
        <f t="shared" si="20"/>
        <v>0.5</v>
      </c>
      <c r="L101" s="114">
        <f t="shared" si="21"/>
        <v>0</v>
      </c>
      <c r="M101" s="114">
        <f t="shared" si="22"/>
        <v>0</v>
      </c>
      <c r="N101" s="114">
        <f t="shared" si="23"/>
        <v>0</v>
      </c>
      <c r="O101" s="114">
        <f t="shared" si="24"/>
        <v>0</v>
      </c>
      <c r="P101" s="114">
        <f t="shared" si="25"/>
        <v>0.5</v>
      </c>
      <c r="Q101" s="114">
        <f t="shared" si="26"/>
        <v>0.5</v>
      </c>
      <c r="R101" s="114">
        <f t="shared" si="27"/>
        <v>0</v>
      </c>
      <c r="S101" s="114">
        <f t="shared" si="28"/>
        <v>0</v>
      </c>
      <c r="T101" s="114">
        <f t="shared" si="29"/>
        <v>0.5</v>
      </c>
      <c r="U101" s="114">
        <f t="shared" si="30"/>
        <v>0.5</v>
      </c>
      <c r="V101" s="114">
        <f t="shared" si="31"/>
        <v>0</v>
      </c>
      <c r="W101" s="114">
        <f t="shared" si="32"/>
        <v>0</v>
      </c>
      <c r="X101" s="114">
        <f t="shared" si="33"/>
        <v>0</v>
      </c>
    </row>
    <row r="102" ht="15.75" customHeight="1">
      <c r="A102" s="74"/>
      <c r="B102" s="115">
        <f>SUM(B64:B101)/34</f>
        <v>5.205882353</v>
      </c>
    </row>
    <row r="103" ht="15.75" customHeight="1">
      <c r="A103" s="74"/>
      <c r="B103" s="75"/>
    </row>
    <row r="104" ht="15.75" customHeight="1">
      <c r="A104" s="74"/>
      <c r="B104" s="75"/>
    </row>
    <row r="105" ht="15.75" customHeight="1">
      <c r="A105" s="74"/>
      <c r="B105" s="75"/>
    </row>
    <row r="106" ht="15.75" customHeight="1">
      <c r="A106" s="74"/>
      <c r="B106" s="75"/>
    </row>
    <row r="107" ht="15.75" customHeight="1">
      <c r="A107" s="74"/>
      <c r="B107" s="75"/>
    </row>
    <row r="108" ht="15.75" customHeight="1">
      <c r="A108" s="74"/>
      <c r="B108" s="75"/>
    </row>
    <row r="109" ht="15.75" customHeight="1">
      <c r="A109" s="74"/>
      <c r="B109" s="75"/>
    </row>
    <row r="110" ht="15.75" customHeight="1">
      <c r="A110" s="74"/>
      <c r="B110" s="75"/>
    </row>
    <row r="111" ht="15.75" customHeight="1">
      <c r="A111" s="74"/>
      <c r="B111" s="75"/>
    </row>
    <row r="112" ht="15.75" customHeight="1">
      <c r="A112" s="74"/>
      <c r="B112" s="75"/>
    </row>
    <row r="113" ht="15.75" customHeight="1">
      <c r="A113" s="74"/>
      <c r="B113" s="75"/>
    </row>
    <row r="114" ht="15.75" customHeight="1">
      <c r="A114" s="74"/>
      <c r="B114" s="75"/>
    </row>
    <row r="115" ht="15.75" customHeight="1">
      <c r="A115" s="74"/>
      <c r="B115" s="75"/>
    </row>
    <row r="116" ht="15.75" customHeight="1">
      <c r="A116" s="74"/>
      <c r="B116" s="75"/>
    </row>
    <row r="117" ht="15.75" customHeight="1">
      <c r="A117" s="74"/>
      <c r="B117" s="75"/>
    </row>
    <row r="118" ht="15.75" customHeight="1">
      <c r="A118" s="74"/>
      <c r="B118" s="75"/>
    </row>
    <row r="119" ht="15.75" customHeight="1">
      <c r="A119" s="74"/>
      <c r="B119" s="75"/>
    </row>
    <row r="120" ht="15.75" customHeight="1">
      <c r="A120" s="74"/>
      <c r="B120" s="75"/>
    </row>
    <row r="121" ht="15.75" customHeight="1">
      <c r="A121" s="74"/>
      <c r="B121" s="75"/>
    </row>
    <row r="122" ht="15.75" customHeight="1">
      <c r="A122" s="74"/>
      <c r="B122" s="75"/>
    </row>
    <row r="123" ht="15.75" customHeight="1">
      <c r="A123" s="74"/>
      <c r="B123" s="75"/>
    </row>
    <row r="124" ht="15.75" customHeight="1">
      <c r="A124" s="74"/>
      <c r="B124" s="75"/>
    </row>
    <row r="125" ht="15.75" customHeight="1">
      <c r="A125" s="74"/>
      <c r="B125" s="75"/>
    </row>
    <row r="126" ht="15.75" customHeight="1">
      <c r="A126" s="74"/>
      <c r="B126" s="75"/>
    </row>
    <row r="127" ht="15.75" customHeight="1">
      <c r="A127" s="74"/>
      <c r="B127" s="75"/>
    </row>
    <row r="128" ht="15.75" customHeight="1">
      <c r="A128" s="74"/>
      <c r="B128" s="75"/>
    </row>
    <row r="129" ht="15.75" customHeight="1">
      <c r="A129" s="74"/>
      <c r="B129" s="75"/>
    </row>
    <row r="130" ht="15.75" customHeight="1">
      <c r="A130" s="74"/>
      <c r="B130" s="75"/>
    </row>
    <row r="131" ht="15.75" customHeight="1">
      <c r="A131" s="74"/>
      <c r="B131" s="75"/>
    </row>
    <row r="132" ht="15.75" customHeight="1">
      <c r="A132" s="74"/>
      <c r="B132" s="75"/>
    </row>
    <row r="133" ht="15.75" customHeight="1">
      <c r="A133" s="74"/>
      <c r="B133" s="75"/>
    </row>
    <row r="134" ht="15.75" customHeight="1">
      <c r="A134" s="74"/>
      <c r="B134" s="75"/>
    </row>
    <row r="135" ht="15.75" customHeight="1">
      <c r="A135" s="74"/>
      <c r="B135" s="75"/>
    </row>
    <row r="136" ht="15.75" customHeight="1">
      <c r="A136" s="74"/>
      <c r="B136" s="75"/>
    </row>
    <row r="137" ht="15.75" customHeight="1">
      <c r="A137" s="74"/>
      <c r="B137" s="75"/>
    </row>
    <row r="138" ht="15.75" customHeight="1">
      <c r="A138" s="74"/>
      <c r="B138" s="75"/>
    </row>
    <row r="139" ht="15.75" customHeight="1">
      <c r="A139" s="74"/>
      <c r="B139" s="75"/>
    </row>
    <row r="140" ht="15.75" customHeight="1">
      <c r="A140" s="74"/>
      <c r="B140" s="75"/>
    </row>
    <row r="141" ht="15.75" customHeight="1">
      <c r="A141" s="74"/>
      <c r="B141" s="75"/>
    </row>
    <row r="142" ht="15.75" customHeight="1">
      <c r="A142" s="74"/>
      <c r="B142" s="75"/>
    </row>
    <row r="143" ht="15.75" customHeight="1">
      <c r="A143" s="74"/>
      <c r="B143" s="75"/>
    </row>
    <row r="144" ht="15.75" customHeight="1">
      <c r="A144" s="74"/>
      <c r="B144" s="75"/>
    </row>
    <row r="145" ht="15.75" customHeight="1">
      <c r="A145" s="74"/>
      <c r="B145" s="75"/>
    </row>
    <row r="146" ht="15.75" customHeight="1">
      <c r="A146" s="74"/>
      <c r="B146" s="75"/>
    </row>
    <row r="147" ht="15.75" customHeight="1">
      <c r="A147" s="74"/>
      <c r="B147" s="75"/>
    </row>
    <row r="148" ht="15.75" customHeight="1">
      <c r="A148" s="74"/>
      <c r="B148" s="75"/>
    </row>
    <row r="149" ht="15.75" customHeight="1">
      <c r="A149" s="74"/>
      <c r="B149" s="75"/>
    </row>
    <row r="150" ht="15.75" customHeight="1">
      <c r="A150" s="74"/>
      <c r="B150" s="75"/>
    </row>
    <row r="151" ht="15.75" customHeight="1">
      <c r="A151" s="74"/>
      <c r="B151" s="75"/>
    </row>
    <row r="152" ht="15.75" customHeight="1">
      <c r="A152" s="74"/>
      <c r="B152" s="75"/>
    </row>
    <row r="153" ht="15.75" customHeight="1">
      <c r="A153" s="74"/>
      <c r="B153" s="75"/>
    </row>
    <row r="154" ht="15.75" customHeight="1">
      <c r="A154" s="74"/>
      <c r="B154" s="75"/>
    </row>
    <row r="155" ht="15.75" customHeight="1">
      <c r="A155" s="74"/>
      <c r="B155" s="75"/>
    </row>
    <row r="156" ht="15.75" customHeight="1">
      <c r="A156" s="74"/>
      <c r="B156" s="75"/>
    </row>
    <row r="157" ht="15.75" customHeight="1">
      <c r="A157" s="74"/>
      <c r="B157" s="75"/>
    </row>
    <row r="158" ht="15.75" customHeight="1">
      <c r="A158" s="74"/>
      <c r="B158" s="75"/>
    </row>
    <row r="159" ht="15.75" customHeight="1">
      <c r="A159" s="74"/>
      <c r="B159" s="75"/>
    </row>
    <row r="160" ht="15.75" customHeight="1">
      <c r="A160" s="74"/>
      <c r="B160" s="75"/>
    </row>
    <row r="161" ht="15.75" customHeight="1">
      <c r="A161" s="74"/>
      <c r="B161" s="75"/>
    </row>
    <row r="162" ht="15.75" customHeight="1">
      <c r="A162" s="74"/>
      <c r="B162" s="75"/>
    </row>
    <row r="163" ht="15.75" customHeight="1">
      <c r="A163" s="74"/>
      <c r="B163" s="75"/>
    </row>
    <row r="164" ht="15.75" customHeight="1">
      <c r="A164" s="74"/>
      <c r="B164" s="75"/>
    </row>
    <row r="165" ht="15.75" customHeight="1">
      <c r="A165" s="74"/>
      <c r="B165" s="75"/>
    </row>
    <row r="166" ht="15.75" customHeight="1">
      <c r="A166" s="74"/>
      <c r="B166" s="75"/>
    </row>
    <row r="167" ht="15.75" customHeight="1">
      <c r="A167" s="74"/>
      <c r="B167" s="75"/>
    </row>
    <row r="168" ht="15.75" customHeight="1">
      <c r="A168" s="74"/>
      <c r="B168" s="75"/>
    </row>
    <row r="169" ht="15.75" customHeight="1">
      <c r="A169" s="74"/>
      <c r="B169" s="75"/>
    </row>
    <row r="170" ht="15.75" customHeight="1">
      <c r="A170" s="74"/>
      <c r="B170" s="75"/>
    </row>
    <row r="171" ht="15.75" customHeight="1">
      <c r="A171" s="74"/>
      <c r="B171" s="75"/>
    </row>
    <row r="172" ht="15.75" customHeight="1">
      <c r="A172" s="74"/>
      <c r="B172" s="75"/>
    </row>
    <row r="173" ht="15.75" customHeight="1">
      <c r="A173" s="74"/>
      <c r="B173" s="75"/>
    </row>
    <row r="174" ht="15.75" customHeight="1">
      <c r="A174" s="74"/>
      <c r="B174" s="75"/>
    </row>
    <row r="175" ht="15.75" customHeight="1">
      <c r="A175" s="74"/>
      <c r="B175" s="75"/>
    </row>
    <row r="176" ht="15.75" customHeight="1">
      <c r="A176" s="74"/>
      <c r="B176" s="75"/>
    </row>
    <row r="177" ht="15.75" customHeight="1">
      <c r="A177" s="74"/>
      <c r="B177" s="75"/>
    </row>
    <row r="178" ht="15.75" customHeight="1">
      <c r="A178" s="74"/>
      <c r="B178" s="75"/>
    </row>
    <row r="179" ht="15.75" customHeight="1">
      <c r="A179" s="74"/>
      <c r="B179" s="75"/>
    </row>
    <row r="180" ht="15.75" customHeight="1">
      <c r="A180" s="74"/>
      <c r="B180" s="75"/>
    </row>
    <row r="181" ht="15.75" customHeight="1">
      <c r="A181" s="74"/>
      <c r="B181" s="75"/>
    </row>
    <row r="182" ht="15.75" customHeight="1">
      <c r="A182" s="74"/>
      <c r="B182" s="75"/>
    </row>
    <row r="183" ht="15.75" customHeight="1">
      <c r="A183" s="74"/>
      <c r="B183" s="75"/>
    </row>
    <row r="184" ht="15.75" customHeight="1">
      <c r="A184" s="74"/>
      <c r="B184" s="75"/>
    </row>
    <row r="185" ht="15.75" customHeight="1">
      <c r="A185" s="74"/>
      <c r="B185" s="75"/>
    </row>
    <row r="186" ht="15.75" customHeight="1">
      <c r="A186" s="74"/>
      <c r="B186" s="75"/>
    </row>
    <row r="187" ht="15.75" customHeight="1">
      <c r="A187" s="74"/>
      <c r="B187" s="75"/>
    </row>
    <row r="188" ht="15.75" customHeight="1">
      <c r="A188" s="74"/>
      <c r="B188" s="75"/>
    </row>
    <row r="189" ht="15.75" customHeight="1">
      <c r="A189" s="74"/>
      <c r="B189" s="75"/>
    </row>
    <row r="190" ht="15.75" customHeight="1">
      <c r="A190" s="74"/>
      <c r="B190" s="75"/>
    </row>
    <row r="191" ht="15.75" customHeight="1">
      <c r="A191" s="74"/>
      <c r="B191" s="75"/>
    </row>
    <row r="192" ht="15.75" customHeight="1">
      <c r="A192" s="74"/>
      <c r="B192" s="75"/>
    </row>
    <row r="193" ht="15.75" customHeight="1">
      <c r="A193" s="74"/>
      <c r="B193" s="75"/>
    </row>
    <row r="194" ht="15.75" customHeight="1">
      <c r="A194" s="74"/>
      <c r="B194" s="75"/>
    </row>
    <row r="195" ht="15.75" customHeight="1">
      <c r="A195" s="74"/>
      <c r="B195" s="75"/>
    </row>
    <row r="196" ht="15.75" customHeight="1">
      <c r="A196" s="74"/>
      <c r="B196" s="75"/>
    </row>
    <row r="197" ht="15.75" customHeight="1">
      <c r="A197" s="74"/>
      <c r="B197" s="75"/>
    </row>
    <row r="198" ht="15.75" customHeight="1">
      <c r="A198" s="74"/>
      <c r="B198" s="75"/>
    </row>
    <row r="199" ht="15.75" customHeight="1">
      <c r="A199" s="74"/>
      <c r="B199" s="75"/>
    </row>
    <row r="200" ht="15.75" customHeight="1">
      <c r="A200" s="74"/>
      <c r="B200" s="75"/>
    </row>
    <row r="201" ht="15.75" customHeight="1">
      <c r="A201" s="74"/>
      <c r="B201" s="75"/>
    </row>
    <row r="202" ht="15.75" customHeight="1">
      <c r="A202" s="74"/>
      <c r="B202" s="75"/>
    </row>
    <row r="203" ht="15.75" customHeight="1">
      <c r="A203" s="74"/>
      <c r="B203" s="75"/>
    </row>
    <row r="204" ht="15.75" customHeight="1">
      <c r="A204" s="74"/>
      <c r="B204" s="75"/>
    </row>
    <row r="205" ht="15.75" customHeight="1">
      <c r="A205" s="74"/>
      <c r="B205" s="75"/>
    </row>
    <row r="206" ht="15.75" customHeight="1">
      <c r="A206" s="74"/>
      <c r="B206" s="75"/>
    </row>
    <row r="207" ht="15.75" customHeight="1">
      <c r="A207" s="74"/>
      <c r="B207" s="75"/>
    </row>
    <row r="208" ht="15.75" customHeight="1">
      <c r="A208" s="74"/>
      <c r="B208" s="75"/>
    </row>
    <row r="209" ht="15.75" customHeight="1">
      <c r="A209" s="74"/>
      <c r="B209" s="75"/>
    </row>
    <row r="210" ht="15.75" customHeight="1">
      <c r="A210" s="74"/>
      <c r="B210" s="75"/>
    </row>
    <row r="211" ht="15.75" customHeight="1">
      <c r="A211" s="74"/>
      <c r="B211" s="75"/>
    </row>
    <row r="212" ht="15.75" customHeight="1">
      <c r="A212" s="74"/>
      <c r="B212" s="75"/>
    </row>
    <row r="213" ht="15.75" customHeight="1">
      <c r="A213" s="74"/>
      <c r="B213" s="75"/>
    </row>
    <row r="214" ht="15.75" customHeight="1">
      <c r="A214" s="74"/>
      <c r="B214" s="75"/>
    </row>
    <row r="215" ht="15.75" customHeight="1">
      <c r="A215" s="74"/>
      <c r="B215" s="75"/>
    </row>
    <row r="216" ht="15.75" customHeight="1">
      <c r="A216" s="74"/>
      <c r="B216" s="75"/>
    </row>
    <row r="217" ht="15.75" customHeight="1">
      <c r="A217" s="74"/>
      <c r="B217" s="75"/>
    </row>
    <row r="218" ht="15.75" customHeight="1">
      <c r="A218" s="74"/>
      <c r="B218" s="75"/>
    </row>
    <row r="219" ht="15.75" customHeight="1">
      <c r="A219" s="74"/>
      <c r="B219" s="75"/>
    </row>
    <row r="220" ht="15.75" customHeight="1">
      <c r="A220" s="74"/>
      <c r="B220" s="75"/>
    </row>
    <row r="221" ht="15.75" customHeight="1">
      <c r="A221" s="74"/>
      <c r="B221" s="75"/>
    </row>
    <row r="222" ht="15.75" customHeight="1">
      <c r="A222" s="74"/>
      <c r="B222" s="75"/>
    </row>
    <row r="223" ht="15.75" customHeight="1">
      <c r="A223" s="74"/>
      <c r="B223" s="75"/>
    </row>
    <row r="224" ht="15.75" customHeight="1">
      <c r="A224" s="74"/>
      <c r="B224" s="75"/>
    </row>
    <row r="225" ht="15.75" customHeight="1">
      <c r="A225" s="74"/>
      <c r="B225" s="75"/>
    </row>
    <row r="226" ht="15.75" customHeight="1">
      <c r="A226" s="74"/>
      <c r="B226" s="75"/>
    </row>
    <row r="227" ht="15.75" customHeight="1">
      <c r="A227" s="74"/>
      <c r="B227" s="75"/>
    </row>
    <row r="228" ht="15.75" customHeight="1">
      <c r="A228" s="74"/>
      <c r="B228" s="75"/>
    </row>
    <row r="229" ht="15.75" customHeight="1">
      <c r="A229" s="74"/>
      <c r="B229" s="75"/>
    </row>
    <row r="230" ht="15.75" customHeight="1">
      <c r="A230" s="74"/>
      <c r="B230" s="75"/>
    </row>
    <row r="231" ht="15.75" customHeight="1">
      <c r="A231" s="74"/>
      <c r="B231" s="75"/>
    </row>
    <row r="232" ht="15.75" customHeight="1">
      <c r="A232" s="74"/>
      <c r="B232" s="75"/>
    </row>
    <row r="233" ht="15.75" customHeight="1">
      <c r="A233" s="74"/>
      <c r="B233" s="75"/>
    </row>
    <row r="234" ht="15.75" customHeight="1">
      <c r="A234" s="74"/>
      <c r="B234" s="75"/>
    </row>
    <row r="235" ht="15.75" customHeight="1">
      <c r="A235" s="74"/>
      <c r="B235" s="75"/>
    </row>
    <row r="236" ht="15.75" customHeight="1">
      <c r="A236" s="74"/>
      <c r="B236" s="75"/>
    </row>
    <row r="237" ht="15.75" customHeight="1">
      <c r="A237" s="74"/>
      <c r="B237" s="75"/>
    </row>
    <row r="238" ht="15.75" customHeight="1">
      <c r="A238" s="74"/>
      <c r="B238" s="75"/>
    </row>
    <row r="239" ht="15.75" customHeight="1">
      <c r="A239" s="74"/>
      <c r="B239" s="75"/>
    </row>
    <row r="240" ht="15.75" customHeight="1">
      <c r="A240" s="74"/>
      <c r="B240" s="75"/>
    </row>
    <row r="241" ht="15.75" customHeight="1">
      <c r="A241" s="74"/>
      <c r="B241" s="75"/>
    </row>
    <row r="242" ht="15.75" customHeight="1">
      <c r="A242" s="74"/>
      <c r="B242" s="75"/>
    </row>
    <row r="243" ht="15.75" customHeight="1">
      <c r="A243" s="74"/>
      <c r="B243" s="75"/>
    </row>
    <row r="244" ht="15.75" customHeight="1">
      <c r="A244" s="74"/>
      <c r="B244" s="75"/>
    </row>
    <row r="245" ht="15.75" customHeight="1">
      <c r="A245" s="74"/>
      <c r="B245" s="75"/>
    </row>
    <row r="246" ht="15.75" customHeight="1">
      <c r="A246" s="74"/>
      <c r="B246" s="75"/>
    </row>
    <row r="247" ht="15.75" customHeight="1">
      <c r="A247" s="74"/>
      <c r="B247" s="75"/>
    </row>
    <row r="248" ht="15.75" customHeight="1">
      <c r="A248" s="74"/>
      <c r="B248" s="75"/>
    </row>
    <row r="249" ht="15.75" customHeight="1">
      <c r="A249" s="74"/>
      <c r="B249" s="75"/>
    </row>
    <row r="250" ht="15.75" customHeight="1">
      <c r="A250" s="74"/>
      <c r="B250" s="75"/>
    </row>
    <row r="251" ht="15.75" customHeight="1">
      <c r="A251" s="74"/>
      <c r="B251" s="75"/>
    </row>
    <row r="252" ht="15.75" customHeight="1">
      <c r="A252" s="74"/>
      <c r="B252" s="75"/>
    </row>
    <row r="253" ht="15.75" customHeight="1">
      <c r="A253" s="74"/>
      <c r="B253" s="75"/>
    </row>
    <row r="254" ht="15.75" customHeight="1">
      <c r="A254" s="74"/>
      <c r="B254" s="75"/>
    </row>
    <row r="255" ht="15.75" customHeight="1">
      <c r="A255" s="74"/>
      <c r="B255" s="75"/>
    </row>
    <row r="256" ht="15.75" customHeight="1">
      <c r="A256" s="74"/>
      <c r="B256" s="75"/>
    </row>
    <row r="257" ht="15.75" customHeight="1">
      <c r="A257" s="74"/>
      <c r="B257" s="75"/>
    </row>
    <row r="258" ht="15.75" customHeight="1">
      <c r="A258" s="74"/>
      <c r="B258" s="75"/>
    </row>
    <row r="259" ht="15.75" customHeight="1">
      <c r="A259" s="74"/>
      <c r="B259" s="75"/>
    </row>
    <row r="260" ht="15.75" customHeight="1">
      <c r="A260" s="74"/>
      <c r="B260" s="75"/>
    </row>
    <row r="261" ht="15.75" customHeight="1">
      <c r="A261" s="74"/>
      <c r="B261" s="75"/>
    </row>
    <row r="262" ht="15.75" customHeight="1">
      <c r="A262" s="74"/>
      <c r="B262" s="75"/>
    </row>
    <row r="263" ht="15.75" customHeight="1">
      <c r="A263" s="74"/>
      <c r="B263" s="75"/>
    </row>
    <row r="264" ht="15.75" customHeight="1">
      <c r="A264" s="74"/>
      <c r="B264" s="75"/>
    </row>
    <row r="265" ht="15.75" customHeight="1">
      <c r="A265" s="74"/>
      <c r="B265" s="75"/>
    </row>
    <row r="266" ht="15.75" customHeight="1">
      <c r="A266" s="74"/>
      <c r="B266" s="75"/>
    </row>
    <row r="267" ht="15.75" customHeight="1">
      <c r="A267" s="74"/>
      <c r="B267" s="75"/>
    </row>
    <row r="268" ht="15.75" customHeight="1">
      <c r="A268" s="74"/>
      <c r="B268" s="75"/>
    </row>
    <row r="269" ht="15.75" customHeight="1">
      <c r="A269" s="74"/>
      <c r="B269" s="75"/>
    </row>
    <row r="270" ht="15.75" customHeight="1">
      <c r="A270" s="74"/>
      <c r="B270" s="75"/>
    </row>
    <row r="271" ht="15.75" customHeight="1">
      <c r="A271" s="74"/>
      <c r="B271" s="75"/>
    </row>
    <row r="272" ht="15.75" customHeight="1">
      <c r="A272" s="74"/>
      <c r="B272" s="75"/>
    </row>
    <row r="273" ht="15.75" customHeight="1">
      <c r="A273" s="74"/>
      <c r="B273" s="75"/>
    </row>
    <row r="274" ht="15.75" customHeight="1">
      <c r="A274" s="74"/>
      <c r="B274" s="75"/>
    </row>
    <row r="275" ht="15.75" customHeight="1">
      <c r="A275" s="74"/>
      <c r="B275" s="75"/>
    </row>
    <row r="276" ht="15.75" customHeight="1">
      <c r="A276" s="74"/>
      <c r="B276" s="75"/>
    </row>
    <row r="277" ht="15.75" customHeight="1">
      <c r="A277" s="74"/>
      <c r="B277" s="75"/>
    </row>
    <row r="278" ht="15.75" customHeight="1">
      <c r="A278" s="74"/>
      <c r="B278" s="75"/>
    </row>
    <row r="279" ht="15.75" customHeight="1">
      <c r="A279" s="74"/>
      <c r="B279" s="75"/>
    </row>
    <row r="280" ht="15.75" customHeight="1">
      <c r="A280" s="74"/>
      <c r="B280" s="75"/>
    </row>
    <row r="281" ht="15.75" customHeight="1">
      <c r="A281" s="74"/>
      <c r="B281" s="75"/>
    </row>
    <row r="282" ht="15.75" customHeight="1">
      <c r="A282" s="74"/>
      <c r="B282" s="75"/>
    </row>
    <row r="283" ht="15.75" customHeight="1">
      <c r="A283" s="74"/>
      <c r="B283" s="75"/>
    </row>
    <row r="284" ht="15.75" customHeight="1">
      <c r="A284" s="74"/>
      <c r="B284" s="75"/>
    </row>
    <row r="285" ht="15.75" customHeight="1">
      <c r="A285" s="74"/>
      <c r="B285" s="75"/>
    </row>
    <row r="286" ht="15.75" customHeight="1">
      <c r="A286" s="74"/>
      <c r="B286" s="75"/>
    </row>
    <row r="287" ht="15.75" customHeight="1">
      <c r="A287" s="74"/>
      <c r="B287" s="75"/>
    </row>
    <row r="288" ht="15.75" customHeight="1">
      <c r="A288" s="74"/>
      <c r="B288" s="75"/>
    </row>
    <row r="289" ht="15.75" customHeight="1">
      <c r="A289" s="74"/>
      <c r="B289" s="75"/>
    </row>
    <row r="290" ht="15.75" customHeight="1">
      <c r="A290" s="74"/>
      <c r="B290" s="75"/>
    </row>
    <row r="291" ht="15.75" customHeight="1">
      <c r="A291" s="74"/>
      <c r="B291" s="75"/>
    </row>
    <row r="292" ht="15.75" customHeight="1">
      <c r="A292" s="74"/>
      <c r="B292" s="75"/>
    </row>
    <row r="293" ht="15.75" customHeight="1">
      <c r="A293" s="74"/>
      <c r="B293" s="75"/>
    </row>
    <row r="294" ht="15.75" customHeight="1">
      <c r="A294" s="74"/>
      <c r="B294" s="75"/>
    </row>
    <row r="295" ht="15.75" customHeight="1">
      <c r="A295" s="74"/>
      <c r="B295" s="75"/>
    </row>
    <row r="296" ht="15.75" customHeight="1">
      <c r="A296" s="74"/>
      <c r="B296" s="75"/>
    </row>
    <row r="297" ht="15.75" customHeight="1">
      <c r="A297" s="74"/>
      <c r="B297" s="75"/>
    </row>
    <row r="298" ht="15.75" customHeight="1">
      <c r="A298" s="74"/>
      <c r="B298" s="75"/>
    </row>
    <row r="299" ht="15.75" customHeight="1">
      <c r="A299" s="74"/>
      <c r="B299" s="75"/>
    </row>
    <row r="300" ht="15.75" customHeight="1">
      <c r="A300" s="74"/>
      <c r="B300" s="75"/>
    </row>
    <row r="301" ht="15.75" customHeight="1">
      <c r="A301" s="74"/>
      <c r="B301" s="75"/>
    </row>
    <row r="302" ht="15.75" customHeight="1">
      <c r="A302" s="74"/>
      <c r="B302" s="75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5">
    <mergeCell ref="C47:D47"/>
    <mergeCell ref="C48:D48"/>
    <mergeCell ref="C49:D49"/>
    <mergeCell ref="E49:F49"/>
    <mergeCell ref="C50:D50"/>
    <mergeCell ref="C52:D52"/>
    <mergeCell ref="C53:D53"/>
    <mergeCell ref="C54:D54"/>
    <mergeCell ref="A1:C1"/>
    <mergeCell ref="D1:D4"/>
    <mergeCell ref="E1:X1"/>
    <mergeCell ref="A4:C4"/>
    <mergeCell ref="A5:C5"/>
    <mergeCell ref="C45:D45"/>
    <mergeCell ref="C46:D46"/>
  </mergeCells>
  <conditionalFormatting sqref="E5:E43">
    <cfRule type="cellIs" dxfId="0" priority="1" operator="equal">
      <formula>"A"</formula>
    </cfRule>
  </conditionalFormatting>
  <conditionalFormatting sqref="F5:F43">
    <cfRule type="cellIs" dxfId="0" priority="2" operator="equal">
      <formula>"B"</formula>
    </cfRule>
  </conditionalFormatting>
  <conditionalFormatting sqref="I5:I43">
    <cfRule type="cellIs" dxfId="0" priority="3" operator="equal">
      <formula>"B"</formula>
    </cfRule>
  </conditionalFormatting>
  <conditionalFormatting sqref="J5:J43">
    <cfRule type="cellIs" dxfId="0" priority="4" operator="equal">
      <formula>"B"</formula>
    </cfRule>
  </conditionalFormatting>
  <conditionalFormatting sqref="L5:L43">
    <cfRule type="cellIs" dxfId="0" priority="5" operator="equal">
      <formula>"D"</formula>
    </cfRule>
  </conditionalFormatting>
  <conditionalFormatting sqref="M5:M43">
    <cfRule type="cellIs" dxfId="0" priority="6" operator="equal">
      <formula>"B"</formula>
    </cfRule>
  </conditionalFormatting>
  <conditionalFormatting sqref="N5:N43">
    <cfRule type="cellIs" dxfId="0" priority="7" operator="equal">
      <formula>"C"</formula>
    </cfRule>
  </conditionalFormatting>
  <conditionalFormatting sqref="O5:O43">
    <cfRule type="cellIs" dxfId="0" priority="8" operator="equal">
      <formula>"E"</formula>
    </cfRule>
  </conditionalFormatting>
  <conditionalFormatting sqref="Q5:Q43">
    <cfRule type="cellIs" dxfId="0" priority="9" operator="equal">
      <formula>"D"</formula>
    </cfRule>
  </conditionalFormatting>
  <conditionalFormatting sqref="R5:R43">
    <cfRule type="cellIs" dxfId="0" priority="10" operator="equal">
      <formula>"E"</formula>
    </cfRule>
  </conditionalFormatting>
  <conditionalFormatting sqref="T5:T43">
    <cfRule type="cellIs" dxfId="0" priority="11" operator="equal">
      <formula>"##"</formula>
    </cfRule>
  </conditionalFormatting>
  <conditionalFormatting sqref="V5:V43">
    <cfRule type="cellIs" dxfId="0" priority="12" operator="equal">
      <formula>"D"</formula>
    </cfRule>
  </conditionalFormatting>
  <conditionalFormatting sqref="W5:W43">
    <cfRule type="cellIs" dxfId="0" priority="13" operator="equal">
      <formula>"D"</formula>
    </cfRule>
  </conditionalFormatting>
  <conditionalFormatting sqref="E45:X45">
    <cfRule type="cellIs" dxfId="4" priority="14" operator="lessThan">
      <formula>17</formula>
    </cfRule>
  </conditionalFormatting>
  <conditionalFormatting sqref="E45:X45">
    <cfRule type="cellIs" dxfId="5" priority="15" operator="greaterThan">
      <formula>17</formula>
    </cfRule>
  </conditionalFormatting>
  <conditionalFormatting sqref="E46:X46">
    <cfRule type="cellIs" dxfId="4" priority="16" operator="lessThan">
      <formula>"50%"</formula>
    </cfRule>
  </conditionalFormatting>
  <conditionalFormatting sqref="E46:X46">
    <cfRule type="cellIs" dxfId="5" priority="17" operator="greaterThan">
      <formula>"50%"</formula>
    </cfRule>
  </conditionalFormatting>
  <conditionalFormatting sqref="E47:X47">
    <cfRule type="cellIs" dxfId="4" priority="18" operator="greaterThan">
      <formula>17</formula>
    </cfRule>
  </conditionalFormatting>
  <conditionalFormatting sqref="E47:X47">
    <cfRule type="cellIs" dxfId="5" priority="19" operator="lessThan">
      <formula>17</formula>
    </cfRule>
  </conditionalFormatting>
  <conditionalFormatting sqref="P5:P43">
    <cfRule type="cellIs" dxfId="0" priority="20" operator="equal">
      <formula>"B"</formula>
    </cfRule>
  </conditionalFormatting>
  <conditionalFormatting sqref="S5:S43">
    <cfRule type="cellIs" dxfId="0" priority="21" operator="equal">
      <formula>"C"</formula>
    </cfRule>
  </conditionalFormatting>
  <conditionalFormatting sqref="H5:H43">
    <cfRule type="cellIs" dxfId="0" priority="22" operator="equal">
      <formula>"B"</formula>
    </cfRule>
  </conditionalFormatting>
  <conditionalFormatting sqref="K5:K43">
    <cfRule type="cellIs" dxfId="0" priority="23" operator="equal">
      <formula>"D"</formula>
    </cfRule>
  </conditionalFormatting>
  <conditionalFormatting sqref="U5:U43">
    <cfRule type="cellIs" dxfId="0" priority="24" operator="equal">
      <formula>"D"</formula>
    </cfRule>
  </conditionalFormatting>
  <conditionalFormatting sqref="G5:G43">
    <cfRule type="cellIs" dxfId="0" priority="25" operator="equal">
      <formula>"C"</formula>
    </cfRule>
  </conditionalFormatting>
  <conditionalFormatting sqref="X5:X43">
    <cfRule type="cellIs" dxfId="0" priority="26" operator="equal">
      <formula>"C"</formula>
    </cfRule>
  </conditionalFormatting>
  <conditionalFormatting sqref="D63:X101">
    <cfRule type="cellIs" dxfId="0" priority="27" operator="equal">
      <formula>0.5</formula>
    </cfRule>
  </conditionalFormatting>
  <conditionalFormatting sqref="B64:B101">
    <cfRule type="containsBlanks" dxfId="1" priority="28">
      <formula>LEN(TRIM(B64))=0</formula>
    </cfRule>
  </conditionalFormatting>
  <conditionalFormatting sqref="B64:B101">
    <cfRule type="cellIs" dxfId="1" priority="29" operator="equal">
      <formula>0</formula>
    </cfRule>
  </conditionalFormatting>
  <conditionalFormatting sqref="D5:D43">
    <cfRule type="cellIs" dxfId="3" priority="30" operator="greaterThanOrEqual">
      <formula>5</formula>
    </cfRule>
  </conditionalFormatting>
  <conditionalFormatting sqref="D5:D43">
    <cfRule type="cellIs" dxfId="6" priority="31" operator="lessThan">
      <formula>5</formula>
    </cfRule>
  </conditionalFormatting>
  <conditionalFormatting sqref="D5:D43">
    <cfRule type="containsBlanks" dxfId="7" priority="32">
      <formula>LEN(TRIM(D5))=0</formula>
    </cfRule>
  </conditionalFormatting>
  <conditionalFormatting sqref="E48:X48">
    <cfRule type="cellIs" dxfId="9" priority="33" operator="greaterThan">
      <formula>"50%"</formula>
    </cfRule>
  </conditionalFormatting>
  <conditionalFormatting sqref="E48:X48">
    <cfRule type="cellIs" dxfId="10" priority="34" operator="lessThan">
      <formula>"50%"</formula>
    </cfRule>
  </conditionalFormatting>
  <conditionalFormatting sqref="E50:X50">
    <cfRule type="cellIs" dxfId="8" priority="35" operator="greaterThanOrEqual">
      <formula>"50%"</formula>
    </cfRule>
  </conditionalFormatting>
  <conditionalFormatting sqref="E50:X50">
    <cfRule type="cellIs" dxfId="2" priority="36" operator="lessThan">
      <formula>"50%"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1" width="3.0"/>
    <col customWidth="1" min="2" max="2" width="11.75"/>
    <col customWidth="1" min="3" max="3" width="1.88"/>
    <col customWidth="1" min="4" max="4" width="0.38"/>
    <col customWidth="1" min="5" max="24" width="4.5"/>
  </cols>
  <sheetData>
    <row r="1" ht="15.75" customHeight="1">
      <c r="A1" s="22" t="s">
        <v>361</v>
      </c>
      <c r="B1" s="23"/>
      <c r="C1" s="24"/>
      <c r="D1" s="25" t="s">
        <v>330</v>
      </c>
      <c r="E1" s="26" t="s">
        <v>331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/>
    </row>
    <row r="2" ht="15.75" customHeight="1">
      <c r="A2" s="27" t="s">
        <v>0</v>
      </c>
      <c r="B2" s="28" t="s">
        <v>332</v>
      </c>
      <c r="C2" s="27" t="s">
        <v>333</v>
      </c>
      <c r="D2" s="29"/>
      <c r="E2" s="30">
        <v>1.0</v>
      </c>
      <c r="F2" s="31">
        <v>2.0</v>
      </c>
      <c r="G2" s="31">
        <v>3.0</v>
      </c>
      <c r="H2" s="31">
        <v>4.0</v>
      </c>
      <c r="I2" s="31">
        <v>5.0</v>
      </c>
      <c r="J2" s="31">
        <v>6.0</v>
      </c>
      <c r="K2" s="31">
        <v>7.0</v>
      </c>
      <c r="L2" s="31">
        <v>8.0</v>
      </c>
      <c r="M2" s="31">
        <v>9.0</v>
      </c>
      <c r="N2" s="31">
        <v>10.0</v>
      </c>
      <c r="O2" s="31">
        <v>11.0</v>
      </c>
      <c r="P2" s="31">
        <v>12.0</v>
      </c>
      <c r="Q2" s="31">
        <v>13.0</v>
      </c>
      <c r="R2" s="31">
        <v>14.0</v>
      </c>
      <c r="S2" s="31">
        <v>15.0</v>
      </c>
      <c r="T2" s="31">
        <v>16.0</v>
      </c>
      <c r="U2" s="31">
        <v>17.0</v>
      </c>
      <c r="V2" s="31">
        <v>18.0</v>
      </c>
      <c r="W2" s="31">
        <v>19.0</v>
      </c>
      <c r="X2" s="31">
        <v>20.0</v>
      </c>
    </row>
    <row r="3" ht="15.75" customHeight="1">
      <c r="A3" s="32" t="s">
        <v>334</v>
      </c>
      <c r="B3" s="32" t="s">
        <v>335</v>
      </c>
      <c r="C3" s="33" t="s">
        <v>336</v>
      </c>
      <c r="D3" s="29"/>
      <c r="E3" s="34" t="s">
        <v>29</v>
      </c>
      <c r="F3" s="35" t="s">
        <v>28</v>
      </c>
      <c r="G3" s="35" t="s">
        <v>30</v>
      </c>
      <c r="H3" s="35" t="s">
        <v>28</v>
      </c>
      <c r="I3" s="35" t="s">
        <v>28</v>
      </c>
      <c r="J3" s="35" t="s">
        <v>28</v>
      </c>
      <c r="K3" s="35" t="s">
        <v>31</v>
      </c>
      <c r="L3" s="35" t="s">
        <v>31</v>
      </c>
      <c r="M3" s="35" t="s">
        <v>28</v>
      </c>
      <c r="N3" s="35" t="s">
        <v>30</v>
      </c>
      <c r="O3" s="35" t="s">
        <v>32</v>
      </c>
      <c r="P3" s="35" t="s">
        <v>28</v>
      </c>
      <c r="Q3" s="35" t="s">
        <v>31</v>
      </c>
      <c r="R3" s="35" t="s">
        <v>32</v>
      </c>
      <c r="S3" s="35" t="s">
        <v>30</v>
      </c>
      <c r="T3" s="36" t="s">
        <v>337</v>
      </c>
      <c r="U3" s="35" t="s">
        <v>31</v>
      </c>
      <c r="V3" s="35" t="s">
        <v>31</v>
      </c>
      <c r="W3" s="35" t="s">
        <v>31</v>
      </c>
      <c r="X3" s="35" t="s">
        <v>30</v>
      </c>
    </row>
    <row r="4" ht="15.75" customHeight="1">
      <c r="A4" s="37" t="s">
        <v>338</v>
      </c>
      <c r="B4" s="38"/>
      <c r="C4" s="39"/>
      <c r="D4" s="40"/>
      <c r="E4" s="41">
        <v>0.5</v>
      </c>
      <c r="F4" s="42">
        <v>0.5</v>
      </c>
      <c r="G4" s="42">
        <v>0.5</v>
      </c>
      <c r="H4" s="42">
        <v>0.5</v>
      </c>
      <c r="I4" s="42">
        <v>0.5</v>
      </c>
      <c r="J4" s="42">
        <v>0.5</v>
      </c>
      <c r="K4" s="42">
        <v>0.5</v>
      </c>
      <c r="L4" s="42">
        <v>0.5</v>
      </c>
      <c r="M4" s="42">
        <v>0.5</v>
      </c>
      <c r="N4" s="42">
        <v>0.5</v>
      </c>
      <c r="O4" s="42">
        <v>0.5</v>
      </c>
      <c r="P4" s="42">
        <v>0.5</v>
      </c>
      <c r="Q4" s="42">
        <v>0.5</v>
      </c>
      <c r="R4" s="42">
        <v>0.5</v>
      </c>
      <c r="S4" s="42">
        <v>0.5</v>
      </c>
      <c r="T4" s="42">
        <v>0.5</v>
      </c>
      <c r="U4" s="42">
        <v>0.5</v>
      </c>
      <c r="V4" s="42">
        <v>0.5</v>
      </c>
      <c r="W4" s="42">
        <v>0.5</v>
      </c>
      <c r="X4" s="42">
        <v>0.5</v>
      </c>
    </row>
    <row r="5" ht="15.75" customHeight="1">
      <c r="A5" s="43" t="s">
        <v>339</v>
      </c>
      <c r="B5" s="23"/>
      <c r="C5" s="24"/>
      <c r="D5" s="44">
        <f t="shared" ref="D5:D31" si="1">B61</f>
        <v>10</v>
      </c>
      <c r="E5" s="45" t="s">
        <v>29</v>
      </c>
      <c r="F5" s="46" t="s">
        <v>28</v>
      </c>
      <c r="G5" s="46" t="s">
        <v>30</v>
      </c>
      <c r="H5" s="46" t="s">
        <v>28</v>
      </c>
      <c r="I5" s="46" t="s">
        <v>28</v>
      </c>
      <c r="J5" s="46" t="s">
        <v>28</v>
      </c>
      <c r="K5" s="46" t="s">
        <v>31</v>
      </c>
      <c r="L5" s="46" t="s">
        <v>31</v>
      </c>
      <c r="M5" s="46" t="s">
        <v>28</v>
      </c>
      <c r="N5" s="46" t="s">
        <v>30</v>
      </c>
      <c r="O5" s="46" t="s">
        <v>32</v>
      </c>
      <c r="P5" s="46" t="s">
        <v>28</v>
      </c>
      <c r="Q5" s="46" t="s">
        <v>31</v>
      </c>
      <c r="R5" s="46" t="s">
        <v>32</v>
      </c>
      <c r="S5" s="46" t="s">
        <v>30</v>
      </c>
      <c r="T5" s="46" t="s">
        <v>337</v>
      </c>
      <c r="U5" s="46" t="s">
        <v>31</v>
      </c>
      <c r="V5" s="46" t="s">
        <v>31</v>
      </c>
      <c r="W5" s="46" t="s">
        <v>31</v>
      </c>
      <c r="X5" s="46" t="s">
        <v>30</v>
      </c>
    </row>
    <row r="6" ht="15.75" customHeight="1">
      <c r="A6" s="47">
        <v>1.0</v>
      </c>
      <c r="B6" s="48" t="s">
        <v>185</v>
      </c>
      <c r="C6" s="120" t="s">
        <v>186</v>
      </c>
      <c r="D6" s="50">
        <f t="shared" si="1"/>
        <v>3.5</v>
      </c>
      <c r="E6" s="51" t="s">
        <v>28</v>
      </c>
      <c r="F6" s="52" t="s">
        <v>29</v>
      </c>
      <c r="G6" s="52" t="s">
        <v>31</v>
      </c>
      <c r="H6" s="52" t="s">
        <v>31</v>
      </c>
      <c r="I6" s="52" t="s">
        <v>30</v>
      </c>
      <c r="J6" s="52" t="s">
        <v>28</v>
      </c>
      <c r="K6" s="52" t="s">
        <v>31</v>
      </c>
      <c r="L6" s="52" t="s">
        <v>31</v>
      </c>
      <c r="M6" s="52" t="s">
        <v>32</v>
      </c>
      <c r="N6" s="52" t="s">
        <v>29</v>
      </c>
      <c r="O6" s="52" t="s">
        <v>28</v>
      </c>
      <c r="P6" s="52" t="s">
        <v>28</v>
      </c>
      <c r="Q6" s="52" t="s">
        <v>30</v>
      </c>
      <c r="R6" s="52" t="s">
        <v>28</v>
      </c>
      <c r="S6" s="52" t="s">
        <v>30</v>
      </c>
      <c r="T6" s="52" t="s">
        <v>337</v>
      </c>
      <c r="U6" s="52" t="s">
        <v>28</v>
      </c>
      <c r="V6" s="52" t="s">
        <v>28</v>
      </c>
      <c r="W6" s="52" t="s">
        <v>31</v>
      </c>
      <c r="X6" s="52" t="s">
        <v>32</v>
      </c>
    </row>
    <row r="7" ht="15.75" customHeight="1">
      <c r="A7" s="53">
        <v>2.0</v>
      </c>
      <c r="B7" s="54" t="s">
        <v>187</v>
      </c>
      <c r="C7" s="55" t="s">
        <v>188</v>
      </c>
      <c r="D7" s="56">
        <f t="shared" si="1"/>
        <v>5.5</v>
      </c>
      <c r="E7" s="51" t="s">
        <v>29</v>
      </c>
      <c r="F7" s="52" t="s">
        <v>28</v>
      </c>
      <c r="G7" s="52" t="s">
        <v>29</v>
      </c>
      <c r="H7" s="52" t="s">
        <v>28</v>
      </c>
      <c r="I7" s="52" t="s">
        <v>28</v>
      </c>
      <c r="J7" s="52" t="s">
        <v>29</v>
      </c>
      <c r="K7" s="52" t="s">
        <v>32</v>
      </c>
      <c r="L7" s="52" t="s">
        <v>28</v>
      </c>
      <c r="M7" s="52" t="s">
        <v>31</v>
      </c>
      <c r="N7" s="52" t="s">
        <v>30</v>
      </c>
      <c r="O7" s="52" t="s">
        <v>31</v>
      </c>
      <c r="P7" s="52" t="s">
        <v>28</v>
      </c>
      <c r="Q7" s="52" t="s">
        <v>31</v>
      </c>
      <c r="R7" s="52" t="s">
        <v>31</v>
      </c>
      <c r="S7" s="52" t="s">
        <v>31</v>
      </c>
      <c r="T7" s="52" t="s">
        <v>337</v>
      </c>
      <c r="U7" s="52" t="s">
        <v>31</v>
      </c>
      <c r="V7" s="52" t="s">
        <v>31</v>
      </c>
      <c r="W7" s="52" t="s">
        <v>31</v>
      </c>
      <c r="X7" s="52" t="s">
        <v>32</v>
      </c>
    </row>
    <row r="8" ht="15.75" customHeight="1">
      <c r="A8" s="53">
        <v>3.0</v>
      </c>
      <c r="B8" s="54" t="s">
        <v>189</v>
      </c>
      <c r="C8" s="55" t="s">
        <v>190</v>
      </c>
      <c r="D8" s="56">
        <f t="shared" si="1"/>
        <v>6</v>
      </c>
      <c r="E8" s="51" t="s">
        <v>30</v>
      </c>
      <c r="F8" s="52" t="s">
        <v>28</v>
      </c>
      <c r="G8" s="52" t="s">
        <v>32</v>
      </c>
      <c r="H8" s="52" t="s">
        <v>28</v>
      </c>
      <c r="I8" s="52" t="s">
        <v>32</v>
      </c>
      <c r="J8" s="52" t="s">
        <v>30</v>
      </c>
      <c r="K8" s="52" t="s">
        <v>28</v>
      </c>
      <c r="L8" s="52" t="s">
        <v>31</v>
      </c>
      <c r="M8" s="52" t="s">
        <v>29</v>
      </c>
      <c r="N8" s="52" t="s">
        <v>30</v>
      </c>
      <c r="O8" s="52" t="s">
        <v>32</v>
      </c>
      <c r="P8" s="52" t="s">
        <v>28</v>
      </c>
      <c r="Q8" s="52" t="s">
        <v>31</v>
      </c>
      <c r="R8" s="52" t="s">
        <v>30</v>
      </c>
      <c r="S8" s="52" t="s">
        <v>30</v>
      </c>
      <c r="T8" s="52" t="s">
        <v>337</v>
      </c>
      <c r="U8" s="52" t="s">
        <v>31</v>
      </c>
      <c r="V8" s="52" t="s">
        <v>32</v>
      </c>
      <c r="W8" s="52" t="s">
        <v>31</v>
      </c>
      <c r="X8" s="52" t="s">
        <v>30</v>
      </c>
    </row>
    <row r="9" ht="15.75" customHeight="1">
      <c r="A9" s="53">
        <v>4.0</v>
      </c>
      <c r="B9" s="54" t="s">
        <v>191</v>
      </c>
      <c r="C9" s="55" t="s">
        <v>192</v>
      </c>
      <c r="D9" s="56">
        <f t="shared" si="1"/>
        <v>5.5</v>
      </c>
      <c r="E9" s="51" t="s">
        <v>28</v>
      </c>
      <c r="F9" s="52" t="s">
        <v>28</v>
      </c>
      <c r="G9" s="52" t="s">
        <v>29</v>
      </c>
      <c r="H9" s="52" t="s">
        <v>28</v>
      </c>
      <c r="I9" s="52" t="s">
        <v>28</v>
      </c>
      <c r="J9" s="52" t="s">
        <v>32</v>
      </c>
      <c r="K9" s="52" t="s">
        <v>31</v>
      </c>
      <c r="L9" s="52" t="s">
        <v>31</v>
      </c>
      <c r="M9" s="52" t="s">
        <v>30</v>
      </c>
      <c r="N9" s="52" t="s">
        <v>29</v>
      </c>
      <c r="O9" s="52" t="s">
        <v>32</v>
      </c>
      <c r="P9" s="52" t="s">
        <v>28</v>
      </c>
      <c r="Q9" s="52" t="s">
        <v>31</v>
      </c>
      <c r="R9" s="52" t="s">
        <v>30</v>
      </c>
      <c r="S9" s="52" t="s">
        <v>30</v>
      </c>
      <c r="T9" s="52" t="s">
        <v>337</v>
      </c>
      <c r="U9" s="52" t="s">
        <v>31</v>
      </c>
      <c r="V9" s="52" t="s">
        <v>30</v>
      </c>
      <c r="W9" s="52" t="s">
        <v>29</v>
      </c>
      <c r="X9" s="52" t="s">
        <v>32</v>
      </c>
    </row>
    <row r="10" ht="15.75" customHeight="1">
      <c r="A10" s="53">
        <v>5.0</v>
      </c>
      <c r="B10" s="54" t="s">
        <v>193</v>
      </c>
      <c r="C10" s="55" t="s">
        <v>194</v>
      </c>
      <c r="D10" s="56">
        <f t="shared" si="1"/>
        <v>4.5</v>
      </c>
      <c r="E10" s="51" t="s">
        <v>30</v>
      </c>
      <c r="F10" s="52" t="s">
        <v>28</v>
      </c>
      <c r="G10" s="52" t="s">
        <v>28</v>
      </c>
      <c r="H10" s="52" t="s">
        <v>28</v>
      </c>
      <c r="I10" s="52" t="s">
        <v>29</v>
      </c>
      <c r="J10" s="52" t="s">
        <v>30</v>
      </c>
      <c r="K10" s="52" t="s">
        <v>29</v>
      </c>
      <c r="L10" s="52" t="s">
        <v>31</v>
      </c>
      <c r="M10" s="52" t="s">
        <v>28</v>
      </c>
      <c r="N10" s="52" t="s">
        <v>29</v>
      </c>
      <c r="O10" s="52" t="s">
        <v>32</v>
      </c>
      <c r="P10" s="52" t="s">
        <v>28</v>
      </c>
      <c r="Q10" s="52" t="s">
        <v>31</v>
      </c>
      <c r="R10" s="52" t="s">
        <v>30</v>
      </c>
      <c r="S10" s="52" t="s">
        <v>31</v>
      </c>
      <c r="T10" s="52" t="s">
        <v>337</v>
      </c>
      <c r="U10" s="52" t="s">
        <v>31</v>
      </c>
      <c r="V10" s="52" t="s">
        <v>29</v>
      </c>
      <c r="W10" s="52" t="s">
        <v>32</v>
      </c>
      <c r="X10" s="52" t="s">
        <v>29</v>
      </c>
    </row>
    <row r="11" ht="15.75" customHeight="1">
      <c r="A11" s="53">
        <v>6.0</v>
      </c>
      <c r="B11" s="54" t="s">
        <v>195</v>
      </c>
      <c r="C11" s="55" t="s">
        <v>196</v>
      </c>
      <c r="D11" s="56">
        <f t="shared" si="1"/>
        <v>6.5</v>
      </c>
      <c r="E11" s="51" t="s">
        <v>28</v>
      </c>
      <c r="F11" s="52" t="s">
        <v>28</v>
      </c>
      <c r="G11" s="52" t="s">
        <v>29</v>
      </c>
      <c r="H11" s="52" t="s">
        <v>28</v>
      </c>
      <c r="I11" s="52" t="s">
        <v>29</v>
      </c>
      <c r="J11" s="52" t="s">
        <v>31</v>
      </c>
      <c r="K11" s="52" t="s">
        <v>31</v>
      </c>
      <c r="L11" s="52" t="s">
        <v>31</v>
      </c>
      <c r="M11" s="52" t="s">
        <v>30</v>
      </c>
      <c r="N11" s="52" t="s">
        <v>30</v>
      </c>
      <c r="O11" s="52" t="s">
        <v>32</v>
      </c>
      <c r="P11" s="52" t="s">
        <v>28</v>
      </c>
      <c r="Q11" s="52" t="s">
        <v>31</v>
      </c>
      <c r="R11" s="52" t="s">
        <v>31</v>
      </c>
      <c r="S11" s="52" t="s">
        <v>30</v>
      </c>
      <c r="T11" s="52" t="s">
        <v>337</v>
      </c>
      <c r="U11" s="52" t="s">
        <v>31</v>
      </c>
      <c r="V11" s="52" t="s">
        <v>28</v>
      </c>
      <c r="W11" s="52" t="s">
        <v>31</v>
      </c>
      <c r="X11" s="52" t="s">
        <v>30</v>
      </c>
    </row>
    <row r="12" ht="15.75" customHeight="1">
      <c r="A12" s="53">
        <v>7.0</v>
      </c>
      <c r="B12" s="54" t="s">
        <v>197</v>
      </c>
      <c r="C12" s="55" t="s">
        <v>198</v>
      </c>
      <c r="D12" s="56">
        <f t="shared" si="1"/>
        <v>5.5</v>
      </c>
      <c r="E12" s="51" t="s">
        <v>31</v>
      </c>
      <c r="F12" s="52" t="s">
        <v>28</v>
      </c>
      <c r="G12" s="52" t="s">
        <v>30</v>
      </c>
      <c r="H12" s="52" t="s">
        <v>28</v>
      </c>
      <c r="I12" s="52" t="s">
        <v>32</v>
      </c>
      <c r="J12" s="52" t="s">
        <v>30</v>
      </c>
      <c r="K12" s="52" t="s">
        <v>31</v>
      </c>
      <c r="L12" s="52" t="s">
        <v>31</v>
      </c>
      <c r="M12" s="52" t="s">
        <v>30</v>
      </c>
      <c r="N12" s="52" t="s">
        <v>32</v>
      </c>
      <c r="O12" s="52" t="s">
        <v>32</v>
      </c>
      <c r="P12" s="52" t="s">
        <v>28</v>
      </c>
      <c r="Q12" s="52" t="s">
        <v>31</v>
      </c>
      <c r="R12" s="52" t="s">
        <v>30</v>
      </c>
      <c r="S12" s="52" t="s">
        <v>30</v>
      </c>
      <c r="T12" s="52" t="s">
        <v>337</v>
      </c>
      <c r="U12" s="52" t="s">
        <v>28</v>
      </c>
      <c r="V12" s="52" t="s">
        <v>28</v>
      </c>
      <c r="W12" s="52" t="s">
        <v>32</v>
      </c>
      <c r="X12" s="52" t="s">
        <v>30</v>
      </c>
    </row>
    <row r="13" ht="15.75" customHeight="1">
      <c r="A13" s="53">
        <v>8.0</v>
      </c>
      <c r="B13" s="54" t="s">
        <v>199</v>
      </c>
      <c r="C13" s="55" t="s">
        <v>200</v>
      </c>
      <c r="D13" s="56">
        <f t="shared" si="1"/>
        <v>5</v>
      </c>
      <c r="E13" s="51" t="s">
        <v>28</v>
      </c>
      <c r="F13" s="52" t="s">
        <v>28</v>
      </c>
      <c r="G13" s="52" t="s">
        <v>32</v>
      </c>
      <c r="H13" s="52" t="s">
        <v>28</v>
      </c>
      <c r="I13" s="52" t="s">
        <v>32</v>
      </c>
      <c r="J13" s="52" t="s">
        <v>30</v>
      </c>
      <c r="K13" s="52" t="s">
        <v>30</v>
      </c>
      <c r="L13" s="52" t="s">
        <v>31</v>
      </c>
      <c r="M13" s="52" t="s">
        <v>28</v>
      </c>
      <c r="N13" s="52" t="s">
        <v>30</v>
      </c>
      <c r="O13" s="52" t="s">
        <v>32</v>
      </c>
      <c r="P13" s="52" t="s">
        <v>28</v>
      </c>
      <c r="Q13" s="52" t="s">
        <v>31</v>
      </c>
      <c r="R13" s="52" t="s">
        <v>31</v>
      </c>
      <c r="S13" s="52" t="s">
        <v>31</v>
      </c>
      <c r="T13" s="52" t="s">
        <v>337</v>
      </c>
      <c r="U13" s="52" t="s">
        <v>31</v>
      </c>
      <c r="V13" s="52" t="s">
        <v>28</v>
      </c>
      <c r="W13" s="52" t="s">
        <v>28</v>
      </c>
      <c r="X13" s="52" t="s">
        <v>32</v>
      </c>
    </row>
    <row r="14" ht="15.75" customHeight="1">
      <c r="A14" s="53">
        <v>9.0</v>
      </c>
      <c r="B14" s="54" t="s">
        <v>201</v>
      </c>
      <c r="C14" s="55" t="s">
        <v>202</v>
      </c>
      <c r="D14" s="56">
        <f t="shared" si="1"/>
        <v>5</v>
      </c>
      <c r="E14" s="51" t="s">
        <v>29</v>
      </c>
      <c r="F14" s="52" t="s">
        <v>29</v>
      </c>
      <c r="G14" s="52" t="s">
        <v>31</v>
      </c>
      <c r="H14" s="52" t="s">
        <v>28</v>
      </c>
      <c r="I14" s="52" t="s">
        <v>32</v>
      </c>
      <c r="J14" s="52" t="s">
        <v>28</v>
      </c>
      <c r="K14" s="52" t="s">
        <v>31</v>
      </c>
      <c r="L14" s="52" t="s">
        <v>30</v>
      </c>
      <c r="M14" s="52" t="s">
        <v>28</v>
      </c>
      <c r="N14" s="52" t="s">
        <v>28</v>
      </c>
      <c r="O14" s="52" t="s">
        <v>32</v>
      </c>
      <c r="P14" s="52" t="s">
        <v>28</v>
      </c>
      <c r="Q14" s="52" t="s">
        <v>30</v>
      </c>
      <c r="R14" s="52" t="s">
        <v>29</v>
      </c>
      <c r="S14" s="52" t="s">
        <v>29</v>
      </c>
      <c r="T14" s="52" t="s">
        <v>337</v>
      </c>
      <c r="U14" s="52" t="s">
        <v>31</v>
      </c>
      <c r="V14" s="52" t="s">
        <v>28</v>
      </c>
      <c r="W14" s="52" t="s">
        <v>31</v>
      </c>
      <c r="X14" s="52" t="s">
        <v>28</v>
      </c>
    </row>
    <row r="15" ht="15.75" customHeight="1">
      <c r="A15" s="53">
        <v>10.0</v>
      </c>
      <c r="B15" s="54" t="s">
        <v>203</v>
      </c>
      <c r="C15" s="55" t="s">
        <v>204</v>
      </c>
      <c r="D15" s="56">
        <f t="shared" si="1"/>
        <v>3</v>
      </c>
      <c r="E15" s="51" t="s">
        <v>31</v>
      </c>
      <c r="F15" s="52" t="s">
        <v>28</v>
      </c>
      <c r="G15" s="52" t="s">
        <v>29</v>
      </c>
      <c r="H15" s="52" t="s">
        <v>28</v>
      </c>
      <c r="I15" s="52" t="s">
        <v>30</v>
      </c>
      <c r="J15" s="52" t="s">
        <v>29</v>
      </c>
      <c r="K15" s="52" t="s">
        <v>32</v>
      </c>
      <c r="L15" s="52" t="s">
        <v>30</v>
      </c>
      <c r="M15" s="52" t="s">
        <v>30</v>
      </c>
      <c r="N15" s="52" t="s">
        <v>30</v>
      </c>
      <c r="O15" s="52" t="s">
        <v>28</v>
      </c>
      <c r="P15" s="52" t="s">
        <v>28</v>
      </c>
      <c r="Q15" s="52" t="s">
        <v>31</v>
      </c>
      <c r="R15" s="52" t="s">
        <v>29</v>
      </c>
      <c r="S15" s="52" t="s">
        <v>31</v>
      </c>
      <c r="T15" s="52" t="s">
        <v>337</v>
      </c>
      <c r="U15" s="52" t="s">
        <v>30</v>
      </c>
      <c r="V15" s="52" t="s">
        <v>28</v>
      </c>
      <c r="W15" s="52" t="s">
        <v>28</v>
      </c>
      <c r="X15" s="52" t="s">
        <v>29</v>
      </c>
    </row>
    <row r="16" ht="15.75" customHeight="1">
      <c r="A16" s="53">
        <v>11.0</v>
      </c>
      <c r="B16" s="54" t="s">
        <v>205</v>
      </c>
      <c r="C16" s="58" t="s">
        <v>206</v>
      </c>
      <c r="D16" s="56">
        <f t="shared" si="1"/>
        <v>5.5</v>
      </c>
      <c r="E16" s="51"/>
      <c r="F16" s="52" t="s">
        <v>28</v>
      </c>
      <c r="G16" s="52" t="s">
        <v>29</v>
      </c>
      <c r="H16" s="52" t="s">
        <v>28</v>
      </c>
      <c r="I16" s="52" t="s">
        <v>29</v>
      </c>
      <c r="J16" s="52" t="s">
        <v>29</v>
      </c>
      <c r="K16" s="52" t="s">
        <v>30</v>
      </c>
      <c r="L16" s="52" t="s">
        <v>31</v>
      </c>
      <c r="M16" s="52" t="s">
        <v>28</v>
      </c>
      <c r="N16" s="52"/>
      <c r="O16" s="52" t="s">
        <v>32</v>
      </c>
      <c r="P16" s="52" t="s">
        <v>28</v>
      </c>
      <c r="Q16" s="52" t="s">
        <v>31</v>
      </c>
      <c r="R16" s="52" t="s">
        <v>31</v>
      </c>
      <c r="S16" s="52" t="s">
        <v>30</v>
      </c>
      <c r="T16" s="52" t="s">
        <v>337</v>
      </c>
      <c r="U16" s="52" t="s">
        <v>31</v>
      </c>
      <c r="V16" s="52" t="s">
        <v>28</v>
      </c>
      <c r="W16" s="52" t="s">
        <v>29</v>
      </c>
      <c r="X16" s="52" t="s">
        <v>30</v>
      </c>
    </row>
    <row r="17" ht="15.75" customHeight="1">
      <c r="A17" s="53">
        <v>12.0</v>
      </c>
      <c r="B17" s="54" t="s">
        <v>207</v>
      </c>
      <c r="C17" s="55" t="s">
        <v>208</v>
      </c>
      <c r="D17" s="56">
        <f t="shared" si="1"/>
        <v>3</v>
      </c>
      <c r="E17" s="51" t="s">
        <v>30</v>
      </c>
      <c r="F17" s="52" t="s">
        <v>31</v>
      </c>
      <c r="G17" s="52" t="s">
        <v>28</v>
      </c>
      <c r="H17" s="52" t="s">
        <v>28</v>
      </c>
      <c r="I17" s="52" t="s">
        <v>32</v>
      </c>
      <c r="J17" s="52" t="s">
        <v>31</v>
      </c>
      <c r="K17" s="52" t="s">
        <v>31</v>
      </c>
      <c r="L17" s="52" t="s">
        <v>30</v>
      </c>
      <c r="M17" s="52" t="s">
        <v>31</v>
      </c>
      <c r="N17" s="52" t="s">
        <v>28</v>
      </c>
      <c r="O17" s="52" t="s">
        <v>29</v>
      </c>
      <c r="P17" s="52" t="s">
        <v>28</v>
      </c>
      <c r="Q17" s="52" t="s">
        <v>30</v>
      </c>
      <c r="R17" s="52" t="s">
        <v>29</v>
      </c>
      <c r="S17" s="52" t="s">
        <v>31</v>
      </c>
      <c r="T17" s="52" t="s">
        <v>337</v>
      </c>
      <c r="U17" s="52" t="s">
        <v>31</v>
      </c>
      <c r="V17" s="52" t="s">
        <v>31</v>
      </c>
      <c r="W17" s="52" t="s">
        <v>29</v>
      </c>
      <c r="X17" s="52" t="s">
        <v>28</v>
      </c>
    </row>
    <row r="18" ht="15.75" customHeight="1">
      <c r="A18" s="53">
        <v>13.0</v>
      </c>
      <c r="B18" s="54" t="s">
        <v>209</v>
      </c>
      <c r="C18" s="57" t="s">
        <v>210</v>
      </c>
      <c r="D18" s="56">
        <f t="shared" si="1"/>
        <v>2</v>
      </c>
      <c r="E18" s="51" t="s">
        <v>32</v>
      </c>
      <c r="F18" s="52" t="s">
        <v>30</v>
      </c>
      <c r="G18" s="52" t="s">
        <v>32</v>
      </c>
      <c r="H18" s="52" t="s">
        <v>31</v>
      </c>
      <c r="I18" s="52" t="s">
        <v>32</v>
      </c>
      <c r="J18" s="52" t="s">
        <v>29</v>
      </c>
      <c r="K18" s="52" t="s">
        <v>30</v>
      </c>
      <c r="L18" s="52" t="s">
        <v>30</v>
      </c>
      <c r="M18" s="52" t="s">
        <v>31</v>
      </c>
      <c r="N18" s="52" t="s">
        <v>29</v>
      </c>
      <c r="O18" s="52" t="s">
        <v>29</v>
      </c>
      <c r="P18" s="52" t="s">
        <v>29</v>
      </c>
      <c r="Q18" s="52" t="s">
        <v>31</v>
      </c>
      <c r="R18" s="52" t="s">
        <v>30</v>
      </c>
      <c r="S18" s="52" t="s">
        <v>31</v>
      </c>
      <c r="T18" s="52" t="s">
        <v>337</v>
      </c>
      <c r="U18" s="52" t="s">
        <v>31</v>
      </c>
      <c r="V18" s="52" t="s">
        <v>31</v>
      </c>
      <c r="W18" s="52" t="s">
        <v>29</v>
      </c>
      <c r="X18" s="52" t="s">
        <v>28</v>
      </c>
    </row>
    <row r="19" ht="15.75" customHeight="1">
      <c r="A19" s="53">
        <v>14.0</v>
      </c>
      <c r="B19" s="54" t="s">
        <v>211</v>
      </c>
      <c r="C19" s="55" t="s">
        <v>212</v>
      </c>
      <c r="D19" s="56">
        <f t="shared" si="1"/>
        <v>5</v>
      </c>
      <c r="E19" s="51" t="s">
        <v>31</v>
      </c>
      <c r="F19" s="52" t="s">
        <v>28</v>
      </c>
      <c r="G19" s="52" t="s">
        <v>28</v>
      </c>
      <c r="H19" s="52" t="s">
        <v>28</v>
      </c>
      <c r="I19" s="52" t="s">
        <v>30</v>
      </c>
      <c r="J19" s="52" t="s">
        <v>29</v>
      </c>
      <c r="K19" s="52" t="s">
        <v>32</v>
      </c>
      <c r="L19" s="52" t="s">
        <v>31</v>
      </c>
      <c r="M19" s="52" t="s">
        <v>30</v>
      </c>
      <c r="N19" s="52" t="s">
        <v>30</v>
      </c>
      <c r="O19" s="52" t="s">
        <v>31</v>
      </c>
      <c r="P19" s="52" t="s">
        <v>28</v>
      </c>
      <c r="Q19" s="52" t="s">
        <v>31</v>
      </c>
      <c r="R19" s="52" t="s">
        <v>31</v>
      </c>
      <c r="S19" s="52" t="s">
        <v>30</v>
      </c>
      <c r="T19" s="52" t="s">
        <v>337</v>
      </c>
      <c r="U19" s="52" t="s">
        <v>31</v>
      </c>
      <c r="V19" s="52" t="s">
        <v>28</v>
      </c>
      <c r="W19" s="52" t="s">
        <v>31</v>
      </c>
      <c r="X19" s="52" t="s">
        <v>28</v>
      </c>
    </row>
    <row r="20" ht="15.75" customHeight="1">
      <c r="A20" s="53">
        <v>15.0</v>
      </c>
      <c r="B20" s="54" t="s">
        <v>213</v>
      </c>
      <c r="C20" s="55" t="s">
        <v>214</v>
      </c>
      <c r="D20" s="56">
        <f t="shared" si="1"/>
        <v>5</v>
      </c>
      <c r="E20" s="51" t="s">
        <v>31</v>
      </c>
      <c r="F20" s="52" t="s">
        <v>28</v>
      </c>
      <c r="G20" s="52"/>
      <c r="H20" s="52" t="s">
        <v>30</v>
      </c>
      <c r="I20" s="52" t="s">
        <v>28</v>
      </c>
      <c r="J20" s="52" t="s">
        <v>28</v>
      </c>
      <c r="K20" s="52" t="s">
        <v>29</v>
      </c>
      <c r="L20" s="52" t="s">
        <v>28</v>
      </c>
      <c r="M20" s="52" t="s">
        <v>28</v>
      </c>
      <c r="N20" s="52" t="s">
        <v>28</v>
      </c>
      <c r="O20" s="52" t="s">
        <v>32</v>
      </c>
      <c r="P20" s="52" t="s">
        <v>28</v>
      </c>
      <c r="Q20" s="52" t="s">
        <v>31</v>
      </c>
      <c r="R20" s="52" t="s">
        <v>31</v>
      </c>
      <c r="S20" s="52" t="s">
        <v>29</v>
      </c>
      <c r="T20" s="52" t="s">
        <v>337</v>
      </c>
      <c r="U20" s="52" t="s">
        <v>31</v>
      </c>
      <c r="V20" s="52" t="s">
        <v>29</v>
      </c>
      <c r="W20" s="52" t="s">
        <v>31</v>
      </c>
      <c r="X20" s="52" t="s">
        <v>28</v>
      </c>
    </row>
    <row r="21" ht="15.75" customHeight="1">
      <c r="A21" s="53">
        <v>16.0</v>
      </c>
      <c r="B21" s="54" t="s">
        <v>215</v>
      </c>
      <c r="C21" s="55" t="s">
        <v>216</v>
      </c>
      <c r="D21" s="56">
        <f t="shared" si="1"/>
        <v>4.5</v>
      </c>
      <c r="E21" s="51" t="s">
        <v>28</v>
      </c>
      <c r="F21" s="52" t="s">
        <v>28</v>
      </c>
      <c r="G21" s="52" t="s">
        <v>29</v>
      </c>
      <c r="H21" s="52" t="s">
        <v>28</v>
      </c>
      <c r="I21" s="52" t="s">
        <v>32</v>
      </c>
      <c r="J21" s="52" t="s">
        <v>31</v>
      </c>
      <c r="K21" s="52" t="s">
        <v>28</v>
      </c>
      <c r="L21" s="52" t="s">
        <v>30</v>
      </c>
      <c r="M21" s="52" t="s">
        <v>28</v>
      </c>
      <c r="N21" s="52" t="s">
        <v>30</v>
      </c>
      <c r="O21" s="52" t="s">
        <v>29</v>
      </c>
      <c r="P21" s="52" t="s">
        <v>28</v>
      </c>
      <c r="Q21" s="52" t="s">
        <v>31</v>
      </c>
      <c r="R21" s="52" t="s">
        <v>31</v>
      </c>
      <c r="S21" s="52" t="s">
        <v>30</v>
      </c>
      <c r="T21" s="52" t="s">
        <v>337</v>
      </c>
      <c r="U21" s="52" t="s">
        <v>28</v>
      </c>
      <c r="V21" s="52" t="s">
        <v>31</v>
      </c>
      <c r="W21" s="52" t="s">
        <v>28</v>
      </c>
      <c r="X21" s="52" t="s">
        <v>28</v>
      </c>
    </row>
    <row r="22" ht="15.75" customHeight="1">
      <c r="A22" s="53">
        <v>17.0</v>
      </c>
      <c r="B22" s="54" t="s">
        <v>217</v>
      </c>
      <c r="C22" s="55" t="s">
        <v>218</v>
      </c>
      <c r="D22" s="56">
        <f t="shared" si="1"/>
        <v>5.5</v>
      </c>
      <c r="E22" s="51" t="s">
        <v>30</v>
      </c>
      <c r="F22" s="52" t="s">
        <v>28</v>
      </c>
      <c r="G22" s="52" t="s">
        <v>29</v>
      </c>
      <c r="H22" s="52" t="s">
        <v>28</v>
      </c>
      <c r="I22" s="52" t="s">
        <v>32</v>
      </c>
      <c r="J22" s="52" t="s">
        <v>28</v>
      </c>
      <c r="K22" s="52" t="s">
        <v>31</v>
      </c>
      <c r="L22" s="52" t="s">
        <v>31</v>
      </c>
      <c r="M22" s="52" t="s">
        <v>28</v>
      </c>
      <c r="N22" s="52" t="s">
        <v>30</v>
      </c>
      <c r="O22" s="52" t="s">
        <v>31</v>
      </c>
      <c r="P22" s="52" t="s">
        <v>28</v>
      </c>
      <c r="Q22" s="52" t="s">
        <v>32</v>
      </c>
      <c r="R22" s="52" t="s">
        <v>30</v>
      </c>
      <c r="S22" s="52" t="s">
        <v>31</v>
      </c>
      <c r="T22" s="52" t="s">
        <v>337</v>
      </c>
      <c r="U22" s="52" t="s">
        <v>31</v>
      </c>
      <c r="V22" s="52" t="s">
        <v>28</v>
      </c>
      <c r="W22" s="52" t="s">
        <v>31</v>
      </c>
      <c r="X22" s="52" t="s">
        <v>29</v>
      </c>
    </row>
    <row r="23" ht="15.75" customHeight="1">
      <c r="A23" s="53">
        <v>18.0</v>
      </c>
      <c r="B23" s="54" t="s">
        <v>219</v>
      </c>
      <c r="C23" s="55" t="s">
        <v>220</v>
      </c>
      <c r="D23" s="56">
        <f t="shared" si="1"/>
        <v>5</v>
      </c>
      <c r="E23" s="51" t="s">
        <v>30</v>
      </c>
      <c r="F23" s="52" t="s">
        <v>28</v>
      </c>
      <c r="G23" s="52" t="s">
        <v>29</v>
      </c>
      <c r="H23" s="52" t="s">
        <v>30</v>
      </c>
      <c r="I23" s="52" t="s">
        <v>28</v>
      </c>
      <c r="J23" s="52" t="s">
        <v>31</v>
      </c>
      <c r="K23" s="52" t="s">
        <v>32</v>
      </c>
      <c r="L23" s="52" t="s">
        <v>30</v>
      </c>
      <c r="M23" s="52" t="s">
        <v>28</v>
      </c>
      <c r="N23" s="52" t="s">
        <v>32</v>
      </c>
      <c r="O23" s="52" t="s">
        <v>32</v>
      </c>
      <c r="P23" s="52" t="s">
        <v>28</v>
      </c>
      <c r="Q23" s="52" t="s">
        <v>31</v>
      </c>
      <c r="R23" s="52" t="s">
        <v>32</v>
      </c>
      <c r="S23" s="52" t="s">
        <v>31</v>
      </c>
      <c r="T23" s="52" t="s">
        <v>337</v>
      </c>
      <c r="U23" s="52" t="s">
        <v>31</v>
      </c>
      <c r="V23" s="52" t="s">
        <v>28</v>
      </c>
      <c r="W23" s="52" t="s">
        <v>31</v>
      </c>
      <c r="X23" s="52" t="s">
        <v>28</v>
      </c>
    </row>
    <row r="24" ht="15.75" customHeight="1">
      <c r="A24" s="53">
        <v>19.0</v>
      </c>
      <c r="B24" s="54" t="s">
        <v>221</v>
      </c>
      <c r="C24" s="55" t="s">
        <v>222</v>
      </c>
      <c r="D24" s="56">
        <f t="shared" si="1"/>
        <v>5.5</v>
      </c>
      <c r="E24" s="51" t="s">
        <v>28</v>
      </c>
      <c r="F24" s="52" t="s">
        <v>28</v>
      </c>
      <c r="G24" s="52" t="s">
        <v>30</v>
      </c>
      <c r="H24" s="52" t="s">
        <v>28</v>
      </c>
      <c r="I24" s="52" t="s">
        <v>29</v>
      </c>
      <c r="J24" s="52" t="s">
        <v>28</v>
      </c>
      <c r="K24" s="52" t="s">
        <v>30</v>
      </c>
      <c r="L24" s="52" t="s">
        <v>31</v>
      </c>
      <c r="M24" s="52" t="s">
        <v>28</v>
      </c>
      <c r="N24" s="52" t="s">
        <v>30</v>
      </c>
      <c r="O24" s="52" t="s">
        <v>32</v>
      </c>
      <c r="P24" s="52" t="s">
        <v>28</v>
      </c>
      <c r="Q24" s="52" t="s">
        <v>31</v>
      </c>
      <c r="R24" s="52" t="s">
        <v>31</v>
      </c>
      <c r="S24" s="52" t="s">
        <v>223</v>
      </c>
      <c r="T24" s="52" t="s">
        <v>337</v>
      </c>
      <c r="U24" s="52" t="s">
        <v>28</v>
      </c>
      <c r="V24" s="52" t="s">
        <v>32</v>
      </c>
      <c r="W24" s="52" t="s">
        <v>28</v>
      </c>
      <c r="X24" s="52" t="s">
        <v>28</v>
      </c>
    </row>
    <row r="25" ht="15.75" customHeight="1">
      <c r="A25" s="53">
        <v>20.0</v>
      </c>
      <c r="B25" s="54" t="s">
        <v>224</v>
      </c>
      <c r="C25" s="55" t="s">
        <v>225</v>
      </c>
      <c r="D25" s="56">
        <f t="shared" si="1"/>
        <v>3.5</v>
      </c>
      <c r="E25" s="51" t="s">
        <v>31</v>
      </c>
      <c r="F25" s="52" t="s">
        <v>28</v>
      </c>
      <c r="G25" s="52" t="s">
        <v>31</v>
      </c>
      <c r="H25" s="52" t="s">
        <v>28</v>
      </c>
      <c r="I25" s="52" t="s">
        <v>30</v>
      </c>
      <c r="J25" s="52" t="s">
        <v>29</v>
      </c>
      <c r="K25" s="52" t="s">
        <v>30</v>
      </c>
      <c r="L25" s="52" t="s">
        <v>30</v>
      </c>
      <c r="M25" s="52" t="s">
        <v>31</v>
      </c>
      <c r="N25" s="52" t="s">
        <v>31</v>
      </c>
      <c r="O25" s="52" t="s">
        <v>32</v>
      </c>
      <c r="P25" s="52" t="s">
        <v>28</v>
      </c>
      <c r="Q25" s="52" t="s">
        <v>31</v>
      </c>
      <c r="R25" s="52" t="s">
        <v>28</v>
      </c>
      <c r="S25" s="52" t="s">
        <v>31</v>
      </c>
      <c r="T25" s="52" t="s">
        <v>337</v>
      </c>
      <c r="U25" s="52" t="s">
        <v>31</v>
      </c>
      <c r="V25" s="52" t="s">
        <v>28</v>
      </c>
      <c r="W25" s="52" t="s">
        <v>29</v>
      </c>
      <c r="X25" s="52" t="s">
        <v>28</v>
      </c>
    </row>
    <row r="26" ht="15.75" customHeight="1">
      <c r="A26" s="53">
        <v>21.0</v>
      </c>
      <c r="B26" s="54" t="s">
        <v>226</v>
      </c>
      <c r="C26" s="55" t="s">
        <v>227</v>
      </c>
      <c r="D26" s="56">
        <f t="shared" si="1"/>
        <v>5</v>
      </c>
      <c r="E26" s="51" t="s">
        <v>28</v>
      </c>
      <c r="F26" s="52" t="s">
        <v>28</v>
      </c>
      <c r="G26" s="52" t="s">
        <v>32</v>
      </c>
      <c r="H26" s="52" t="s">
        <v>29</v>
      </c>
      <c r="I26" s="52" t="s">
        <v>32</v>
      </c>
      <c r="J26" s="52" t="s">
        <v>30</v>
      </c>
      <c r="K26" s="52" t="s">
        <v>31</v>
      </c>
      <c r="L26" s="52" t="s">
        <v>31</v>
      </c>
      <c r="M26" s="52" t="s">
        <v>29</v>
      </c>
      <c r="N26" s="52" t="s">
        <v>28</v>
      </c>
      <c r="O26" s="52" t="s">
        <v>32</v>
      </c>
      <c r="P26" s="52" t="s">
        <v>28</v>
      </c>
      <c r="Q26" s="52" t="s">
        <v>31</v>
      </c>
      <c r="R26" s="52" t="s">
        <v>31</v>
      </c>
      <c r="S26" s="52" t="s">
        <v>30</v>
      </c>
      <c r="T26" s="52" t="s">
        <v>337</v>
      </c>
      <c r="U26" s="52" t="s">
        <v>31</v>
      </c>
      <c r="V26" s="52" t="s">
        <v>28</v>
      </c>
      <c r="W26" s="52" t="s">
        <v>31</v>
      </c>
      <c r="X26" s="52" t="s">
        <v>28</v>
      </c>
    </row>
    <row r="27" ht="15.75" customHeight="1">
      <c r="A27" s="53">
        <v>22.0</v>
      </c>
      <c r="B27" s="54" t="s">
        <v>228</v>
      </c>
      <c r="C27" s="55" t="s">
        <v>229</v>
      </c>
      <c r="D27" s="56">
        <f t="shared" si="1"/>
        <v>7</v>
      </c>
      <c r="E27" s="51" t="s">
        <v>30</v>
      </c>
      <c r="F27" s="52" t="s">
        <v>28</v>
      </c>
      <c r="G27" s="52" t="s">
        <v>28</v>
      </c>
      <c r="H27" s="52" t="s">
        <v>28</v>
      </c>
      <c r="I27" s="52" t="s">
        <v>30</v>
      </c>
      <c r="J27" s="52" t="s">
        <v>28</v>
      </c>
      <c r="K27" s="52" t="s">
        <v>31</v>
      </c>
      <c r="L27" s="52" t="s">
        <v>31</v>
      </c>
      <c r="M27" s="52" t="s">
        <v>29</v>
      </c>
      <c r="N27" s="52" t="s">
        <v>30</v>
      </c>
      <c r="O27" s="52" t="s">
        <v>32</v>
      </c>
      <c r="P27" s="52" t="s">
        <v>28</v>
      </c>
      <c r="Q27" s="52" t="s">
        <v>31</v>
      </c>
      <c r="R27" s="52" t="s">
        <v>28</v>
      </c>
      <c r="S27" s="52" t="s">
        <v>29</v>
      </c>
      <c r="T27" s="52" t="s">
        <v>337</v>
      </c>
      <c r="U27" s="52" t="s">
        <v>31</v>
      </c>
      <c r="V27" s="52" t="s">
        <v>31</v>
      </c>
      <c r="W27" s="52" t="s">
        <v>31</v>
      </c>
      <c r="X27" s="52" t="s">
        <v>30</v>
      </c>
    </row>
    <row r="28" ht="15.75" customHeight="1">
      <c r="A28" s="53">
        <v>23.0</v>
      </c>
      <c r="B28" s="54" t="s">
        <v>230</v>
      </c>
      <c r="C28" s="55" t="s">
        <v>231</v>
      </c>
      <c r="D28" s="56">
        <f t="shared" si="1"/>
        <v>4</v>
      </c>
      <c r="E28" s="51" t="s">
        <v>32</v>
      </c>
      <c r="F28" s="52" t="s">
        <v>28</v>
      </c>
      <c r="G28" s="52" t="s">
        <v>31</v>
      </c>
      <c r="H28" s="52" t="s">
        <v>28</v>
      </c>
      <c r="I28" s="52" t="s">
        <v>32</v>
      </c>
      <c r="J28" s="52" t="s">
        <v>29</v>
      </c>
      <c r="K28" s="52" t="s">
        <v>31</v>
      </c>
      <c r="L28" s="52" t="s">
        <v>30</v>
      </c>
      <c r="M28" s="52" t="s">
        <v>31</v>
      </c>
      <c r="N28" s="52" t="s">
        <v>31</v>
      </c>
      <c r="O28" s="52" t="s">
        <v>28</v>
      </c>
      <c r="P28" s="52" t="s">
        <v>28</v>
      </c>
      <c r="Q28" s="52" t="s">
        <v>31</v>
      </c>
      <c r="R28" s="52" t="s">
        <v>30</v>
      </c>
      <c r="S28" s="52" t="s">
        <v>31</v>
      </c>
      <c r="T28" s="52" t="s">
        <v>337</v>
      </c>
      <c r="U28" s="52" t="s">
        <v>30</v>
      </c>
      <c r="V28" s="52" t="s">
        <v>31</v>
      </c>
      <c r="W28" s="52" t="s">
        <v>30</v>
      </c>
      <c r="X28" s="52" t="s">
        <v>30</v>
      </c>
    </row>
    <row r="29" ht="15.75" customHeight="1">
      <c r="A29" s="53">
        <v>24.0</v>
      </c>
      <c r="B29" s="54" t="s">
        <v>232</v>
      </c>
      <c r="C29" s="55" t="s">
        <v>233</v>
      </c>
      <c r="D29" s="56">
        <f t="shared" si="1"/>
        <v>5.5</v>
      </c>
      <c r="E29" s="51" t="s">
        <v>31</v>
      </c>
      <c r="F29" s="52" t="s">
        <v>28</v>
      </c>
      <c r="G29" s="52" t="s">
        <v>30</v>
      </c>
      <c r="H29" s="52" t="s">
        <v>28</v>
      </c>
      <c r="I29" s="52" t="s">
        <v>31</v>
      </c>
      <c r="J29" s="52" t="s">
        <v>30</v>
      </c>
      <c r="K29" s="52" t="s">
        <v>31</v>
      </c>
      <c r="L29" s="52" t="s">
        <v>32</v>
      </c>
      <c r="M29" s="52" t="s">
        <v>28</v>
      </c>
      <c r="N29" s="52" t="s">
        <v>30</v>
      </c>
      <c r="O29" s="52" t="s">
        <v>32</v>
      </c>
      <c r="P29" s="52" t="s">
        <v>28</v>
      </c>
      <c r="Q29" s="52" t="s">
        <v>31</v>
      </c>
      <c r="R29" s="52" t="s">
        <v>28</v>
      </c>
      <c r="S29" s="52" t="s">
        <v>29</v>
      </c>
      <c r="T29" s="52" t="s">
        <v>337</v>
      </c>
      <c r="U29" s="52" t="s">
        <v>31</v>
      </c>
      <c r="V29" s="52" t="s">
        <v>30</v>
      </c>
      <c r="W29" s="52" t="s">
        <v>28</v>
      </c>
      <c r="X29" s="52" t="s">
        <v>32</v>
      </c>
    </row>
    <row r="30" ht="15.75" customHeight="1">
      <c r="A30" s="53">
        <v>25.0</v>
      </c>
      <c r="B30" s="54" t="s">
        <v>234</v>
      </c>
      <c r="C30" s="55" t="s">
        <v>235</v>
      </c>
      <c r="D30" s="56">
        <f t="shared" si="1"/>
        <v>3</v>
      </c>
      <c r="E30" s="51" t="s">
        <v>31</v>
      </c>
      <c r="F30" s="52" t="s">
        <v>29</v>
      </c>
      <c r="G30" s="52" t="s">
        <v>29</v>
      </c>
      <c r="H30" s="52" t="s">
        <v>29</v>
      </c>
      <c r="I30" s="52" t="s">
        <v>32</v>
      </c>
      <c r="J30" s="52" t="s">
        <v>28</v>
      </c>
      <c r="K30" s="52" t="s">
        <v>29</v>
      </c>
      <c r="L30" s="52" t="s">
        <v>28</v>
      </c>
      <c r="M30" s="52" t="s">
        <v>31</v>
      </c>
      <c r="N30" s="52" t="s">
        <v>30</v>
      </c>
      <c r="O30" s="52" t="s">
        <v>32</v>
      </c>
      <c r="P30" s="52" t="s">
        <v>28</v>
      </c>
      <c r="Q30" s="52" t="s">
        <v>30</v>
      </c>
      <c r="R30" s="52" t="s">
        <v>31</v>
      </c>
      <c r="S30" s="52" t="s">
        <v>31</v>
      </c>
      <c r="T30" s="52" t="s">
        <v>337</v>
      </c>
      <c r="U30" s="52" t="s">
        <v>31</v>
      </c>
      <c r="V30" s="52" t="s">
        <v>30</v>
      </c>
      <c r="W30" s="52" t="s">
        <v>29</v>
      </c>
      <c r="X30" s="52" t="s">
        <v>29</v>
      </c>
    </row>
    <row r="31" ht="15.75" customHeight="1">
      <c r="A31" s="53">
        <v>26.0</v>
      </c>
      <c r="B31" s="54" t="s">
        <v>236</v>
      </c>
      <c r="C31" s="55" t="s">
        <v>237</v>
      </c>
      <c r="D31" s="56">
        <f t="shared" si="1"/>
        <v>5.5</v>
      </c>
      <c r="E31" s="51" t="s">
        <v>28</v>
      </c>
      <c r="F31" s="52" t="s">
        <v>28</v>
      </c>
      <c r="G31" s="52" t="s">
        <v>28</v>
      </c>
      <c r="H31" s="52" t="s">
        <v>28</v>
      </c>
      <c r="I31" s="52" t="s">
        <v>32</v>
      </c>
      <c r="J31" s="52" t="s">
        <v>28</v>
      </c>
      <c r="K31" s="52" t="s">
        <v>30</v>
      </c>
      <c r="L31" s="52" t="s">
        <v>31</v>
      </c>
      <c r="M31" s="52" t="s">
        <v>28</v>
      </c>
      <c r="N31" s="52" t="s">
        <v>30</v>
      </c>
      <c r="O31" s="52" t="s">
        <v>30</v>
      </c>
      <c r="P31" s="52" t="s">
        <v>28</v>
      </c>
      <c r="Q31" s="52" t="s">
        <v>30</v>
      </c>
      <c r="R31" s="52" t="s">
        <v>31</v>
      </c>
      <c r="S31" s="52" t="s">
        <v>30</v>
      </c>
      <c r="T31" s="52" t="s">
        <v>337</v>
      </c>
      <c r="U31" s="52" t="s">
        <v>31</v>
      </c>
      <c r="V31" s="52" t="s">
        <v>31</v>
      </c>
      <c r="W31" s="52" t="s">
        <v>29</v>
      </c>
      <c r="X31" s="52" t="s">
        <v>32</v>
      </c>
    </row>
    <row r="32" ht="15.75" customHeight="1">
      <c r="A32" s="53">
        <v>27.0</v>
      </c>
      <c r="B32" s="54" t="s">
        <v>238</v>
      </c>
      <c r="C32" s="55" t="s">
        <v>239</v>
      </c>
      <c r="D32" s="56"/>
      <c r="E32" s="51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ht="15.75" customHeight="1">
      <c r="A33" s="53">
        <v>28.0</v>
      </c>
      <c r="B33" s="54" t="s">
        <v>240</v>
      </c>
      <c r="C33" s="55" t="s">
        <v>241</v>
      </c>
      <c r="D33" s="56">
        <f t="shared" ref="D33:D42" si="2">B89</f>
        <v>5</v>
      </c>
      <c r="E33" s="51" t="s">
        <v>31</v>
      </c>
      <c r="F33" s="52" t="s">
        <v>28</v>
      </c>
      <c r="G33" s="52" t="s">
        <v>30</v>
      </c>
      <c r="H33" s="52" t="s">
        <v>28</v>
      </c>
      <c r="I33" s="52" t="s">
        <v>29</v>
      </c>
      <c r="J33" s="52" t="s">
        <v>30</v>
      </c>
      <c r="K33" s="52" t="s">
        <v>31</v>
      </c>
      <c r="L33" s="52" t="s">
        <v>30</v>
      </c>
      <c r="M33" s="52" t="s">
        <v>29</v>
      </c>
      <c r="N33" s="52" t="s">
        <v>32</v>
      </c>
      <c r="O33" s="52" t="s">
        <v>32</v>
      </c>
      <c r="P33" s="52" t="s">
        <v>28</v>
      </c>
      <c r="Q33" s="52" t="s">
        <v>31</v>
      </c>
      <c r="R33" s="52" t="s">
        <v>31</v>
      </c>
      <c r="S33" s="52" t="s">
        <v>30</v>
      </c>
      <c r="T33" s="52" t="s">
        <v>337</v>
      </c>
      <c r="U33" s="52" t="s">
        <v>31</v>
      </c>
      <c r="V33" s="52" t="s">
        <v>28</v>
      </c>
      <c r="W33" s="52" t="s">
        <v>30</v>
      </c>
      <c r="X33" s="52" t="s">
        <v>28</v>
      </c>
    </row>
    <row r="34" ht="15.75" customHeight="1">
      <c r="A34" s="53">
        <v>29.0</v>
      </c>
      <c r="B34" s="54" t="s">
        <v>242</v>
      </c>
      <c r="C34" s="55" t="s">
        <v>243</v>
      </c>
      <c r="D34" s="56">
        <f t="shared" si="2"/>
        <v>3.5</v>
      </c>
      <c r="E34" s="51" t="s">
        <v>31</v>
      </c>
      <c r="F34" s="52" t="s">
        <v>28</v>
      </c>
      <c r="G34" s="52" t="s">
        <v>31</v>
      </c>
      <c r="H34" s="52" t="s">
        <v>28</v>
      </c>
      <c r="I34" s="52" t="s">
        <v>32</v>
      </c>
      <c r="J34" s="52" t="s">
        <v>29</v>
      </c>
      <c r="K34" s="52" t="s">
        <v>31</v>
      </c>
      <c r="L34" s="52" t="s">
        <v>30</v>
      </c>
      <c r="M34" s="52" t="s">
        <v>29</v>
      </c>
      <c r="N34" s="52" t="s">
        <v>28</v>
      </c>
      <c r="O34" s="52" t="s">
        <v>32</v>
      </c>
      <c r="P34" s="52" t="s">
        <v>28</v>
      </c>
      <c r="Q34" s="52" t="s">
        <v>30</v>
      </c>
      <c r="R34" s="52" t="s">
        <v>30</v>
      </c>
      <c r="S34" s="52" t="s">
        <v>31</v>
      </c>
      <c r="T34" s="52" t="s">
        <v>337</v>
      </c>
      <c r="U34" s="52" t="s">
        <v>31</v>
      </c>
      <c r="V34" s="52" t="s">
        <v>28</v>
      </c>
      <c r="W34" s="52" t="s">
        <v>28</v>
      </c>
      <c r="X34" s="52" t="s">
        <v>32</v>
      </c>
    </row>
    <row r="35" ht="15.75" customHeight="1">
      <c r="A35" s="53">
        <v>30.0</v>
      </c>
      <c r="B35" s="54" t="s">
        <v>244</v>
      </c>
      <c r="C35" s="55" t="s">
        <v>245</v>
      </c>
      <c r="D35" s="56">
        <f t="shared" si="2"/>
        <v>5</v>
      </c>
      <c r="E35" s="51" t="s">
        <v>31</v>
      </c>
      <c r="F35" s="52" t="s">
        <v>28</v>
      </c>
      <c r="G35" s="52" t="s">
        <v>29</v>
      </c>
      <c r="H35" s="52" t="s">
        <v>28</v>
      </c>
      <c r="I35" s="52" t="s">
        <v>28</v>
      </c>
      <c r="J35" s="52" t="s">
        <v>32</v>
      </c>
      <c r="K35" s="52" t="s">
        <v>31</v>
      </c>
      <c r="L35" s="52" t="s">
        <v>31</v>
      </c>
      <c r="M35" s="52" t="s">
        <v>29</v>
      </c>
      <c r="N35" s="52" t="s">
        <v>30</v>
      </c>
      <c r="O35" s="52" t="s">
        <v>28</v>
      </c>
      <c r="P35" s="52" t="s">
        <v>28</v>
      </c>
      <c r="Q35" s="52" t="s">
        <v>31</v>
      </c>
      <c r="R35" s="52" t="s">
        <v>28</v>
      </c>
      <c r="S35" s="52" t="s">
        <v>29</v>
      </c>
      <c r="T35" s="52" t="s">
        <v>337</v>
      </c>
      <c r="U35" s="52" t="s">
        <v>31</v>
      </c>
      <c r="V35" s="52" t="s">
        <v>28</v>
      </c>
      <c r="W35" s="52" t="s">
        <v>32</v>
      </c>
      <c r="X35" s="52" t="s">
        <v>28</v>
      </c>
    </row>
    <row r="36" ht="15.75" customHeight="1">
      <c r="A36" s="53">
        <v>31.0</v>
      </c>
      <c r="B36" s="54" t="s">
        <v>246</v>
      </c>
      <c r="C36" s="55" t="s">
        <v>247</v>
      </c>
      <c r="D36" s="56">
        <f t="shared" si="2"/>
        <v>5.5</v>
      </c>
      <c r="E36" s="51" t="s">
        <v>29</v>
      </c>
      <c r="F36" s="52" t="s">
        <v>28</v>
      </c>
      <c r="G36" s="52" t="s">
        <v>29</v>
      </c>
      <c r="H36" s="52" t="s">
        <v>28</v>
      </c>
      <c r="I36" s="52" t="s">
        <v>32</v>
      </c>
      <c r="J36" s="52" t="s">
        <v>30</v>
      </c>
      <c r="K36" s="52" t="s">
        <v>30</v>
      </c>
      <c r="L36" s="52" t="s">
        <v>28</v>
      </c>
      <c r="M36" s="52" t="s">
        <v>30</v>
      </c>
      <c r="N36" s="52" t="s">
        <v>30</v>
      </c>
      <c r="O36" s="52" t="s">
        <v>32</v>
      </c>
      <c r="P36" s="52" t="s">
        <v>28</v>
      </c>
      <c r="Q36" s="52" t="s">
        <v>31</v>
      </c>
      <c r="R36" s="52" t="s">
        <v>28</v>
      </c>
      <c r="S36" s="52" t="s">
        <v>30</v>
      </c>
      <c r="T36" s="52" t="s">
        <v>337</v>
      </c>
      <c r="U36" s="52" t="s">
        <v>31</v>
      </c>
      <c r="V36" s="52" t="s">
        <v>31</v>
      </c>
      <c r="W36" s="52" t="s">
        <v>29</v>
      </c>
      <c r="X36" s="52" t="s">
        <v>28</v>
      </c>
    </row>
    <row r="37" ht="15.75" customHeight="1">
      <c r="A37" s="59">
        <v>32.0</v>
      </c>
      <c r="B37" s="60" t="s">
        <v>248</v>
      </c>
      <c r="C37" s="57" t="s">
        <v>249</v>
      </c>
      <c r="D37" s="56">
        <f t="shared" si="2"/>
        <v>2.5</v>
      </c>
      <c r="E37" s="51" t="s">
        <v>30</v>
      </c>
      <c r="F37" s="52" t="s">
        <v>30</v>
      </c>
      <c r="G37" s="52" t="s">
        <v>29</v>
      </c>
      <c r="H37" s="52" t="s">
        <v>28</v>
      </c>
      <c r="I37" s="52" t="s">
        <v>30</v>
      </c>
      <c r="J37" s="52" t="s">
        <v>30</v>
      </c>
      <c r="K37" s="52" t="s">
        <v>30</v>
      </c>
      <c r="L37" s="52" t="s">
        <v>30</v>
      </c>
      <c r="M37" s="52" t="s">
        <v>32</v>
      </c>
      <c r="N37" s="52" t="s">
        <v>29</v>
      </c>
      <c r="O37" s="52" t="s">
        <v>30</v>
      </c>
      <c r="P37" s="52" t="s">
        <v>28</v>
      </c>
      <c r="Q37" s="52" t="s">
        <v>31</v>
      </c>
      <c r="R37" s="52" t="s">
        <v>30</v>
      </c>
      <c r="S37" s="52" t="s">
        <v>30</v>
      </c>
      <c r="T37" s="52" t="s">
        <v>337</v>
      </c>
      <c r="U37" s="52" t="s">
        <v>28</v>
      </c>
      <c r="V37" s="52" t="s">
        <v>28</v>
      </c>
      <c r="W37" s="52" t="s">
        <v>32</v>
      </c>
      <c r="X37" s="52" t="s">
        <v>32</v>
      </c>
    </row>
    <row r="38" ht="15.75" customHeight="1">
      <c r="A38" s="59">
        <v>33.0</v>
      </c>
      <c r="B38" s="60" t="s">
        <v>250</v>
      </c>
      <c r="C38" s="55" t="s">
        <v>251</v>
      </c>
      <c r="D38" s="56">
        <f t="shared" si="2"/>
        <v>4.5</v>
      </c>
      <c r="E38" s="51" t="s">
        <v>32</v>
      </c>
      <c r="F38" s="52" t="s">
        <v>28</v>
      </c>
      <c r="G38" s="52" t="s">
        <v>32</v>
      </c>
      <c r="H38" s="52" t="s">
        <v>28</v>
      </c>
      <c r="I38" s="52" t="s">
        <v>32</v>
      </c>
      <c r="J38" s="52" t="s">
        <v>28</v>
      </c>
      <c r="K38" s="52" t="s">
        <v>30</v>
      </c>
      <c r="L38" s="52" t="s">
        <v>30</v>
      </c>
      <c r="M38" s="52" t="s">
        <v>29</v>
      </c>
      <c r="N38" s="52" t="s">
        <v>31</v>
      </c>
      <c r="O38" s="52" t="s">
        <v>32</v>
      </c>
      <c r="P38" s="52" t="s">
        <v>28</v>
      </c>
      <c r="Q38" s="52" t="s">
        <v>30</v>
      </c>
      <c r="R38" s="52" t="s">
        <v>28</v>
      </c>
      <c r="S38" s="52" t="s">
        <v>30</v>
      </c>
      <c r="T38" s="52" t="s">
        <v>337</v>
      </c>
      <c r="U38" s="52" t="s">
        <v>31</v>
      </c>
      <c r="V38" s="52" t="s">
        <v>30</v>
      </c>
      <c r="W38" s="52" t="s">
        <v>31</v>
      </c>
      <c r="X38" s="52" t="s">
        <v>29</v>
      </c>
    </row>
    <row r="39" ht="15.75" customHeight="1">
      <c r="A39" s="59">
        <v>34.0</v>
      </c>
      <c r="B39" s="60" t="s">
        <v>252</v>
      </c>
      <c r="C39" s="55" t="s">
        <v>253</v>
      </c>
      <c r="D39" s="56">
        <f t="shared" si="2"/>
        <v>5.5</v>
      </c>
      <c r="E39" s="51" t="s">
        <v>30</v>
      </c>
      <c r="F39" s="52" t="s">
        <v>29</v>
      </c>
      <c r="G39" s="52" t="s">
        <v>31</v>
      </c>
      <c r="H39" s="52" t="s">
        <v>28</v>
      </c>
      <c r="I39" s="52" t="s">
        <v>28</v>
      </c>
      <c r="J39" s="52" t="s">
        <v>29</v>
      </c>
      <c r="K39" s="52" t="s">
        <v>30</v>
      </c>
      <c r="L39" s="52" t="s">
        <v>31</v>
      </c>
      <c r="M39" s="52" t="s">
        <v>28</v>
      </c>
      <c r="N39" s="52" t="s">
        <v>29</v>
      </c>
      <c r="O39" s="52" t="s">
        <v>32</v>
      </c>
      <c r="P39" s="52" t="s">
        <v>28</v>
      </c>
      <c r="Q39" s="52" t="s">
        <v>31</v>
      </c>
      <c r="R39" s="52" t="s">
        <v>31</v>
      </c>
      <c r="S39" s="52" t="s">
        <v>30</v>
      </c>
      <c r="T39" s="52" t="s">
        <v>337</v>
      </c>
      <c r="U39" s="52" t="s">
        <v>31</v>
      </c>
      <c r="V39" s="52" t="s">
        <v>31</v>
      </c>
      <c r="W39" s="52" t="s">
        <v>32</v>
      </c>
      <c r="X39" s="52" t="s">
        <v>32</v>
      </c>
    </row>
    <row r="40" ht="15.75" customHeight="1">
      <c r="A40" s="59">
        <v>35.0</v>
      </c>
      <c r="B40" s="60" t="s">
        <v>254</v>
      </c>
      <c r="C40" s="55" t="s">
        <v>255</v>
      </c>
      <c r="D40" s="56">
        <f t="shared" si="2"/>
        <v>3.5</v>
      </c>
      <c r="E40" s="51" t="s">
        <v>30</v>
      </c>
      <c r="F40" s="52" t="s">
        <v>28</v>
      </c>
      <c r="G40" s="52" t="s">
        <v>29</v>
      </c>
      <c r="H40" s="52" t="s">
        <v>28</v>
      </c>
      <c r="I40" s="52" t="s">
        <v>28</v>
      </c>
      <c r="J40" s="52" t="s">
        <v>32</v>
      </c>
      <c r="K40" s="52" t="s">
        <v>30</v>
      </c>
      <c r="L40" s="52" t="s">
        <v>31</v>
      </c>
      <c r="M40" s="52" t="s">
        <v>30</v>
      </c>
      <c r="N40" s="52" t="s">
        <v>29</v>
      </c>
      <c r="O40" s="52" t="s">
        <v>31</v>
      </c>
      <c r="P40" s="52" t="s">
        <v>28</v>
      </c>
      <c r="Q40" s="52" t="s">
        <v>31</v>
      </c>
      <c r="R40" s="52" t="s">
        <v>28</v>
      </c>
      <c r="S40" s="52" t="s">
        <v>31</v>
      </c>
      <c r="T40" s="52" t="s">
        <v>337</v>
      </c>
      <c r="U40" s="52" t="s">
        <v>30</v>
      </c>
      <c r="V40" s="52" t="s">
        <v>28</v>
      </c>
      <c r="W40" s="52" t="s">
        <v>29</v>
      </c>
      <c r="X40" s="52" t="s">
        <v>28</v>
      </c>
    </row>
    <row r="41" ht="15.75" customHeight="1">
      <c r="A41" s="61">
        <v>36.0</v>
      </c>
      <c r="B41" s="62" t="s">
        <v>256</v>
      </c>
      <c r="C41" s="63" t="s">
        <v>257</v>
      </c>
      <c r="D41" s="64">
        <f t="shared" si="2"/>
        <v>4</v>
      </c>
      <c r="E41" s="51" t="s">
        <v>32</v>
      </c>
      <c r="F41" s="52" t="s">
        <v>28</v>
      </c>
      <c r="G41" s="52" t="s">
        <v>31</v>
      </c>
      <c r="H41" s="52" t="s">
        <v>28</v>
      </c>
      <c r="I41" s="52" t="s">
        <v>30</v>
      </c>
      <c r="J41" s="52" t="s">
        <v>32</v>
      </c>
      <c r="K41" s="52" t="s">
        <v>29</v>
      </c>
      <c r="L41" s="52" t="s">
        <v>31</v>
      </c>
      <c r="M41" s="52" t="s">
        <v>31</v>
      </c>
      <c r="N41" s="52" t="s">
        <v>29</v>
      </c>
      <c r="O41" s="52" t="s">
        <v>30</v>
      </c>
      <c r="P41" s="52" t="s">
        <v>28</v>
      </c>
      <c r="Q41" s="52" t="s">
        <v>30</v>
      </c>
      <c r="R41" s="52" t="s">
        <v>30</v>
      </c>
      <c r="S41" s="52" t="s">
        <v>31</v>
      </c>
      <c r="T41" s="52" t="s">
        <v>337</v>
      </c>
      <c r="U41" s="52" t="s">
        <v>31</v>
      </c>
      <c r="V41" s="52" t="s">
        <v>31</v>
      </c>
      <c r="W41" s="52" t="s">
        <v>31</v>
      </c>
      <c r="X41" s="52" t="s">
        <v>32</v>
      </c>
    </row>
    <row r="42" ht="15.75" customHeight="1">
      <c r="A42" s="65"/>
      <c r="B42" s="66"/>
      <c r="C42" s="67" t="s">
        <v>343</v>
      </c>
      <c r="D42" s="118">
        <f t="shared" si="2"/>
        <v>4.671428571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 ht="15.75" customHeight="1">
      <c r="A43" s="65"/>
      <c r="B43" s="66"/>
      <c r="C43" s="71" t="s">
        <v>344</v>
      </c>
      <c r="D43" s="24"/>
      <c r="E43" s="72">
        <f>COUNTIF(E6:E41,"A")</f>
        <v>3</v>
      </c>
      <c r="F43" s="72">
        <f>COUNTIF(F6:F41,"B")</f>
        <v>28</v>
      </c>
      <c r="G43" s="72">
        <f>COUNTIF(G6:G41,"C")</f>
        <v>4</v>
      </c>
      <c r="H43" s="72">
        <f t="shared" ref="H43:J43" si="3">COUNTIF(H6:H41,"B")</f>
        <v>29</v>
      </c>
      <c r="I43" s="72">
        <f t="shared" si="3"/>
        <v>7</v>
      </c>
      <c r="J43" s="72">
        <f t="shared" si="3"/>
        <v>9</v>
      </c>
      <c r="K43" s="72">
        <f t="shared" ref="K43:L43" si="4">COUNTIF(K6:K41,"D")</f>
        <v>14</v>
      </c>
      <c r="L43" s="72">
        <f t="shared" si="4"/>
        <v>18</v>
      </c>
      <c r="M43" s="72">
        <f>COUNTIF(M6:M41,"B")</f>
        <v>12</v>
      </c>
      <c r="N43" s="72">
        <f>COUNTIF(N6:N41,"C")</f>
        <v>15</v>
      </c>
      <c r="O43" s="72">
        <f>COUNTIF(O6:O41,"E")</f>
        <v>21</v>
      </c>
      <c r="P43" s="72">
        <f>COUNTIF(P6:P41,"B")</f>
        <v>34</v>
      </c>
      <c r="Q43" s="72">
        <f>COUNTIF(Q6:Q41,"D")</f>
        <v>26</v>
      </c>
      <c r="R43" s="72">
        <f>COUNTIF(R6:R41,"E")</f>
        <v>1</v>
      </c>
      <c r="S43" s="72">
        <f>COUNTIF(S6:S41,"C")</f>
        <v>15</v>
      </c>
      <c r="T43" s="72">
        <f>COUNTIF(T6:T41,"##")</f>
        <v>35</v>
      </c>
      <c r="U43" s="72">
        <f t="shared" ref="U43:W43" si="5">COUNTIF(U6:U41,"D")</f>
        <v>27</v>
      </c>
      <c r="V43" s="72">
        <f t="shared" si="5"/>
        <v>10</v>
      </c>
      <c r="W43" s="72">
        <f t="shared" si="5"/>
        <v>13</v>
      </c>
      <c r="X43" s="72">
        <f>COUNTIF(X6:X41,"C")</f>
        <v>6</v>
      </c>
    </row>
    <row r="44" ht="15.75" customHeight="1">
      <c r="A44" s="65"/>
      <c r="B44" s="66"/>
      <c r="C44" s="71" t="s">
        <v>345</v>
      </c>
      <c r="D44" s="24"/>
      <c r="E44" s="73">
        <f t="shared" ref="E44:X44" si="6">(E43)/35</f>
        <v>0.08571428571</v>
      </c>
      <c r="F44" s="73">
        <f t="shared" si="6"/>
        <v>0.8</v>
      </c>
      <c r="G44" s="73">
        <f t="shared" si="6"/>
        <v>0.1142857143</v>
      </c>
      <c r="H44" s="73">
        <f t="shared" si="6"/>
        <v>0.8285714286</v>
      </c>
      <c r="I44" s="73">
        <f t="shared" si="6"/>
        <v>0.2</v>
      </c>
      <c r="J44" s="73">
        <f t="shared" si="6"/>
        <v>0.2571428571</v>
      </c>
      <c r="K44" s="73">
        <f t="shared" si="6"/>
        <v>0.4</v>
      </c>
      <c r="L44" s="73">
        <f t="shared" si="6"/>
        <v>0.5142857143</v>
      </c>
      <c r="M44" s="73">
        <f t="shared" si="6"/>
        <v>0.3428571429</v>
      </c>
      <c r="N44" s="73">
        <f t="shared" si="6"/>
        <v>0.4285714286</v>
      </c>
      <c r="O44" s="73">
        <f t="shared" si="6"/>
        <v>0.6</v>
      </c>
      <c r="P44" s="73">
        <f t="shared" si="6"/>
        <v>0.9714285714</v>
      </c>
      <c r="Q44" s="73">
        <f t="shared" si="6"/>
        <v>0.7428571429</v>
      </c>
      <c r="R44" s="73">
        <f t="shared" si="6"/>
        <v>0.02857142857</v>
      </c>
      <c r="S44" s="73">
        <f t="shared" si="6"/>
        <v>0.4285714286</v>
      </c>
      <c r="T44" s="73">
        <f t="shared" si="6"/>
        <v>1</v>
      </c>
      <c r="U44" s="73">
        <f t="shared" si="6"/>
        <v>0.7714285714</v>
      </c>
      <c r="V44" s="73">
        <f t="shared" si="6"/>
        <v>0.2857142857</v>
      </c>
      <c r="W44" s="73">
        <f t="shared" si="6"/>
        <v>0.3714285714</v>
      </c>
      <c r="X44" s="73">
        <f t="shared" si="6"/>
        <v>0.1714285714</v>
      </c>
    </row>
    <row r="45" ht="15.75" customHeight="1">
      <c r="A45" s="65"/>
      <c r="B45" s="66"/>
      <c r="C45" s="71" t="s">
        <v>346</v>
      </c>
      <c r="D45" s="24"/>
      <c r="E45" s="72">
        <f t="shared" ref="E45:X45" si="7">35-E43</f>
        <v>32</v>
      </c>
      <c r="F45" s="72">
        <f t="shared" si="7"/>
        <v>7</v>
      </c>
      <c r="G45" s="72">
        <f t="shared" si="7"/>
        <v>31</v>
      </c>
      <c r="H45" s="72">
        <f t="shared" si="7"/>
        <v>6</v>
      </c>
      <c r="I45" s="72">
        <f t="shared" si="7"/>
        <v>28</v>
      </c>
      <c r="J45" s="72">
        <f t="shared" si="7"/>
        <v>26</v>
      </c>
      <c r="K45" s="72">
        <f t="shared" si="7"/>
        <v>21</v>
      </c>
      <c r="L45" s="72">
        <f t="shared" si="7"/>
        <v>17</v>
      </c>
      <c r="M45" s="72">
        <f t="shared" si="7"/>
        <v>23</v>
      </c>
      <c r="N45" s="72">
        <f t="shared" si="7"/>
        <v>20</v>
      </c>
      <c r="O45" s="72">
        <f t="shared" si="7"/>
        <v>14</v>
      </c>
      <c r="P45" s="72">
        <f t="shared" si="7"/>
        <v>1</v>
      </c>
      <c r="Q45" s="72">
        <f t="shared" si="7"/>
        <v>9</v>
      </c>
      <c r="R45" s="72">
        <f t="shared" si="7"/>
        <v>34</v>
      </c>
      <c r="S45" s="72">
        <f t="shared" si="7"/>
        <v>20</v>
      </c>
      <c r="T45" s="72">
        <f t="shared" si="7"/>
        <v>0</v>
      </c>
      <c r="U45" s="72">
        <f t="shared" si="7"/>
        <v>8</v>
      </c>
      <c r="V45" s="72">
        <f t="shared" si="7"/>
        <v>25</v>
      </c>
      <c r="W45" s="72">
        <f t="shared" si="7"/>
        <v>22</v>
      </c>
      <c r="X45" s="72">
        <f t="shared" si="7"/>
        <v>29</v>
      </c>
    </row>
    <row r="46" ht="15.75" customHeight="1">
      <c r="A46" s="74"/>
      <c r="B46" s="75"/>
      <c r="C46" s="71" t="s">
        <v>347</v>
      </c>
      <c r="D46" s="24"/>
      <c r="E46" s="73">
        <f t="shared" ref="E46:X46" si="8">100%-E44</f>
        <v>0.9142857143</v>
      </c>
      <c r="F46" s="73">
        <f t="shared" si="8"/>
        <v>0.2</v>
      </c>
      <c r="G46" s="73">
        <f t="shared" si="8"/>
        <v>0.8857142857</v>
      </c>
      <c r="H46" s="73">
        <f t="shared" si="8"/>
        <v>0.1714285714</v>
      </c>
      <c r="I46" s="73">
        <f t="shared" si="8"/>
        <v>0.8</v>
      </c>
      <c r="J46" s="73">
        <f t="shared" si="8"/>
        <v>0.7428571429</v>
      </c>
      <c r="K46" s="73">
        <f t="shared" si="8"/>
        <v>0.6</v>
      </c>
      <c r="L46" s="73">
        <f t="shared" si="8"/>
        <v>0.4857142857</v>
      </c>
      <c r="M46" s="73">
        <f t="shared" si="8"/>
        <v>0.6571428571</v>
      </c>
      <c r="N46" s="73">
        <f t="shared" si="8"/>
        <v>0.5714285714</v>
      </c>
      <c r="O46" s="73">
        <f t="shared" si="8"/>
        <v>0.4</v>
      </c>
      <c r="P46" s="73">
        <f t="shared" si="8"/>
        <v>0.02857142857</v>
      </c>
      <c r="Q46" s="73">
        <f t="shared" si="8"/>
        <v>0.2571428571</v>
      </c>
      <c r="R46" s="73">
        <f t="shared" si="8"/>
        <v>0.9714285714</v>
      </c>
      <c r="S46" s="73">
        <f t="shared" si="8"/>
        <v>0.5714285714</v>
      </c>
      <c r="T46" s="73">
        <f t="shared" si="8"/>
        <v>0</v>
      </c>
      <c r="U46" s="73">
        <f t="shared" si="8"/>
        <v>0.2285714286</v>
      </c>
      <c r="V46" s="73">
        <f t="shared" si="8"/>
        <v>0.7142857143</v>
      </c>
      <c r="W46" s="73">
        <f t="shared" si="8"/>
        <v>0.6285714286</v>
      </c>
      <c r="X46" s="73">
        <f t="shared" si="8"/>
        <v>0.8285714286</v>
      </c>
    </row>
    <row r="47" ht="15.75" customHeight="1">
      <c r="A47" s="74"/>
      <c r="B47" s="75"/>
      <c r="C47" s="76" t="s">
        <v>348</v>
      </c>
      <c r="D47" s="23"/>
      <c r="E47" s="78">
        <f>(35/36)</f>
        <v>0.9722222222</v>
      </c>
      <c r="F47" s="24"/>
    </row>
    <row r="48" ht="15.75" customHeight="1">
      <c r="A48" s="74"/>
      <c r="B48" s="75"/>
      <c r="C48" s="71" t="s">
        <v>349</v>
      </c>
      <c r="D48" s="24"/>
      <c r="E48" s="119">
        <f>'3A'!E50</f>
        <v>0.2335766423</v>
      </c>
      <c r="F48" s="119">
        <f>'3A'!F50</f>
        <v>0.7445255474</v>
      </c>
      <c r="G48" s="119">
        <f>'3A'!G50</f>
        <v>0.1824817518</v>
      </c>
      <c r="H48" s="119">
        <f>'3A'!H50</f>
        <v>0.8832116788</v>
      </c>
      <c r="I48" s="119">
        <f>'3A'!I50</f>
        <v>0.2773722628</v>
      </c>
      <c r="J48" s="119">
        <f>'3A'!J50</f>
        <v>0.3065693431</v>
      </c>
      <c r="K48" s="119">
        <f>'3A'!K50</f>
        <v>0.4306569343</v>
      </c>
      <c r="L48" s="119">
        <f>'3A'!L50</f>
        <v>0.503649635</v>
      </c>
      <c r="M48" s="119">
        <f>'3A'!M50</f>
        <v>0.5693430657</v>
      </c>
      <c r="N48" s="119">
        <f>'3A'!N50</f>
        <v>0.496350365</v>
      </c>
      <c r="O48" s="119">
        <f>'3A'!O50</f>
        <v>0.7080291971</v>
      </c>
      <c r="P48" s="119">
        <f>'3A'!P50</f>
        <v>0.9343065693</v>
      </c>
      <c r="Q48" s="119">
        <f>'3A'!Q50</f>
        <v>0.802919708</v>
      </c>
      <c r="R48" s="119">
        <f>'3A'!R50</f>
        <v>0.1094890511</v>
      </c>
      <c r="S48" s="119">
        <f>'3A'!S50</f>
        <v>0.4233576642</v>
      </c>
      <c r="T48" s="119">
        <f>'3A'!T50</f>
        <v>0.7591240876</v>
      </c>
      <c r="U48" s="119">
        <f>'3A'!U50</f>
        <v>0.7737226277</v>
      </c>
      <c r="V48" s="119">
        <f>'3A'!V50</f>
        <v>0.2408759124</v>
      </c>
      <c r="W48" s="119">
        <f>'3A'!W50</f>
        <v>0.3722627737</v>
      </c>
      <c r="X48" s="119">
        <f>'3A'!X50</f>
        <v>0.2279411765</v>
      </c>
    </row>
    <row r="49" ht="15.75" customHeight="1">
      <c r="A49" s="74"/>
      <c r="B49" s="75"/>
    </row>
    <row r="50" ht="15.75" customHeight="1">
      <c r="A50" s="74"/>
      <c r="B50" s="75"/>
      <c r="C50" s="81" t="s">
        <v>350</v>
      </c>
      <c r="G50" s="82" t="s">
        <v>351</v>
      </c>
      <c r="H50" s="83" t="s">
        <v>352</v>
      </c>
    </row>
    <row r="51" ht="15.75" customHeight="1">
      <c r="A51" s="74"/>
      <c r="B51" s="75"/>
      <c r="C51" s="84" t="s">
        <v>353</v>
      </c>
      <c r="G51" s="82" t="s">
        <v>351</v>
      </c>
      <c r="H51" s="83" t="s">
        <v>354</v>
      </c>
    </row>
    <row r="52" ht="15.75" customHeight="1">
      <c r="A52" s="74"/>
      <c r="B52" s="75"/>
      <c r="C52" s="85" t="s">
        <v>355</v>
      </c>
      <c r="G52" s="82" t="s">
        <v>351</v>
      </c>
      <c r="H52" s="83" t="s">
        <v>356</v>
      </c>
    </row>
    <row r="53" ht="15.75" customHeight="1">
      <c r="A53" s="74"/>
      <c r="B53" s="75"/>
      <c r="C53" s="86"/>
      <c r="G53" s="82" t="s">
        <v>351</v>
      </c>
      <c r="H53" s="83" t="s">
        <v>357</v>
      </c>
    </row>
    <row r="54" ht="15.75" customHeight="1">
      <c r="A54" s="74"/>
      <c r="B54" s="75"/>
      <c r="C54" s="86"/>
      <c r="G54" s="82" t="s">
        <v>351</v>
      </c>
      <c r="H54" s="83" t="s">
        <v>358</v>
      </c>
    </row>
    <row r="55" ht="15.75" customHeight="1">
      <c r="A55" s="74"/>
      <c r="B55" s="75"/>
      <c r="C55" s="86"/>
    </row>
    <row r="56" ht="15.75" customHeight="1">
      <c r="A56" s="74"/>
      <c r="B56" s="75"/>
      <c r="C56" s="86"/>
    </row>
    <row r="57" ht="15.75" customHeight="1">
      <c r="A57" s="74"/>
      <c r="B57" s="75"/>
      <c r="C57" s="86"/>
    </row>
    <row r="58" ht="15.75" customHeight="1">
      <c r="A58" s="74"/>
      <c r="B58" s="75"/>
      <c r="C58" s="86"/>
    </row>
    <row r="59" ht="15.75" customHeight="1">
      <c r="A59" s="74"/>
      <c r="B59" s="75"/>
    </row>
    <row r="60" ht="15.75" customHeight="1">
      <c r="A60" s="87" t="s">
        <v>0</v>
      </c>
      <c r="B60" s="88" t="s">
        <v>330</v>
      </c>
      <c r="C60" s="89" t="s">
        <v>333</v>
      </c>
      <c r="D60" s="90" t="s">
        <v>359</v>
      </c>
      <c r="E60" s="91">
        <v>1.0</v>
      </c>
      <c r="F60" s="92">
        <v>2.0</v>
      </c>
      <c r="G60" s="92">
        <v>3.0</v>
      </c>
      <c r="H60" s="92">
        <v>4.0</v>
      </c>
      <c r="I60" s="92">
        <v>5.0</v>
      </c>
      <c r="J60" s="92">
        <v>6.0</v>
      </c>
      <c r="K60" s="92">
        <v>7.0</v>
      </c>
      <c r="L60" s="92">
        <v>8.0</v>
      </c>
      <c r="M60" s="92">
        <v>9.0</v>
      </c>
      <c r="N60" s="92">
        <v>10.0</v>
      </c>
      <c r="O60" s="92">
        <v>11.0</v>
      </c>
      <c r="P60" s="92">
        <v>12.0</v>
      </c>
      <c r="Q60" s="92">
        <v>13.0</v>
      </c>
      <c r="R60" s="92">
        <v>14.0</v>
      </c>
      <c r="S60" s="92">
        <v>15.0</v>
      </c>
      <c r="T60" s="92">
        <v>16.0</v>
      </c>
      <c r="U60" s="92">
        <v>17.0</v>
      </c>
      <c r="V60" s="92">
        <v>18.0</v>
      </c>
      <c r="W60" s="92">
        <v>19.0</v>
      </c>
      <c r="X60" s="92">
        <v>20.0</v>
      </c>
    </row>
    <row r="61" ht="15.75" customHeight="1">
      <c r="A61" s="93" t="s">
        <v>334</v>
      </c>
      <c r="B61" s="94">
        <f t="shared" ref="B61:B97" si="9">SUM(E61:X61)</f>
        <v>10</v>
      </c>
      <c r="C61" s="95" t="s">
        <v>336</v>
      </c>
      <c r="D61" s="96">
        <f t="shared" ref="D61:D97" si="10">B61</f>
        <v>10</v>
      </c>
      <c r="E61" s="97">
        <f t="shared" ref="E61:E97" si="11">IF(E5=$E$3,$E$4,0)</f>
        <v>0.5</v>
      </c>
      <c r="F61" s="98">
        <f t="shared" ref="F61:F97" si="12">IF(F5=$F$3,$F$4,0)</f>
        <v>0.5</v>
      </c>
      <c r="G61" s="98">
        <f t="shared" ref="G61:G97" si="13">IF(G5=$G$3,$G$4,0)</f>
        <v>0.5</v>
      </c>
      <c r="H61" s="98">
        <f t="shared" ref="H61:H97" si="14">IF(H5=$H$3,$H$4,0)</f>
        <v>0.5</v>
      </c>
      <c r="I61" s="98">
        <f t="shared" ref="I61:I97" si="15">IF(I5=$I$3,$I$4,0)</f>
        <v>0.5</v>
      </c>
      <c r="J61" s="98">
        <f t="shared" ref="J61:J97" si="16">IF(J5=$J$3,$J$4,0)</f>
        <v>0.5</v>
      </c>
      <c r="K61" s="98">
        <f t="shared" ref="K61:K97" si="17">IF(K5=$K$3,$K$4,0)</f>
        <v>0.5</v>
      </c>
      <c r="L61" s="98">
        <f t="shared" ref="L61:L97" si="18">IF(L5=$L$3,$L$4,0)</f>
        <v>0.5</v>
      </c>
      <c r="M61" s="98">
        <f t="shared" ref="M61:M97" si="19">IF(M5=$M$3,$M$4,0)</f>
        <v>0.5</v>
      </c>
      <c r="N61" s="98">
        <f t="shared" ref="N61:N97" si="20">IF(N5=$N$3,$N$4,0)</f>
        <v>0.5</v>
      </c>
      <c r="O61" s="98">
        <f t="shared" ref="O61:O97" si="21">IF(O5=$O$3,$O$4,0)</f>
        <v>0.5</v>
      </c>
      <c r="P61" s="98">
        <f t="shared" ref="P61:P97" si="22">IF(P5=$P$3,$P$4,0)</f>
        <v>0.5</v>
      </c>
      <c r="Q61" s="98">
        <f t="shared" ref="Q61:Q97" si="23">IF(Q5=$Q$3,$Q$4,0)</f>
        <v>0.5</v>
      </c>
      <c r="R61" s="98">
        <f t="shared" ref="R61:R97" si="24">IF(R5=$R$3,$R$4,0)</f>
        <v>0.5</v>
      </c>
      <c r="S61" s="98">
        <f t="shared" ref="S61:S97" si="25">IF(S5=$S$3,$S$4,0)</f>
        <v>0.5</v>
      </c>
      <c r="T61" s="98">
        <f t="shared" ref="T61:T97" si="26">IF(T5=$T$3,$T$4,0)</f>
        <v>0.5</v>
      </c>
      <c r="U61" s="98">
        <f t="shared" ref="U61:U97" si="27">IF(U5=$U$3,$U$4,0)</f>
        <v>0.5</v>
      </c>
      <c r="V61" s="98">
        <f t="shared" ref="V61:V97" si="28">IF(V5=$V$3,$V$4,0)</f>
        <v>0.5</v>
      </c>
      <c r="W61" s="98">
        <f t="shared" ref="W61:W97" si="29">IF(W5=$W$3,$W$4,0)</f>
        <v>0.5</v>
      </c>
      <c r="X61" s="98">
        <f t="shared" ref="X61:X97" si="30">IF(X5=$X$3,$X$4,0)</f>
        <v>0.5</v>
      </c>
    </row>
    <row r="62" ht="15.75" customHeight="1">
      <c r="A62" s="99">
        <v>1.0</v>
      </c>
      <c r="B62" s="100">
        <f t="shared" si="9"/>
        <v>3.5</v>
      </c>
      <c r="C62" s="120" t="s">
        <v>186</v>
      </c>
      <c r="D62" s="101">
        <f t="shared" si="10"/>
        <v>3.5</v>
      </c>
      <c r="E62" s="102">
        <f t="shared" si="11"/>
        <v>0</v>
      </c>
      <c r="F62" s="103">
        <f t="shared" si="12"/>
        <v>0</v>
      </c>
      <c r="G62" s="103">
        <f t="shared" si="13"/>
        <v>0</v>
      </c>
      <c r="H62" s="103">
        <f t="shared" si="14"/>
        <v>0</v>
      </c>
      <c r="I62" s="103">
        <f t="shared" si="15"/>
        <v>0</v>
      </c>
      <c r="J62" s="103">
        <f t="shared" si="16"/>
        <v>0.5</v>
      </c>
      <c r="K62" s="103">
        <f t="shared" si="17"/>
        <v>0.5</v>
      </c>
      <c r="L62" s="103">
        <f t="shared" si="18"/>
        <v>0.5</v>
      </c>
      <c r="M62" s="103">
        <f t="shared" si="19"/>
        <v>0</v>
      </c>
      <c r="N62" s="103">
        <f t="shared" si="20"/>
        <v>0</v>
      </c>
      <c r="O62" s="103">
        <f t="shared" si="21"/>
        <v>0</v>
      </c>
      <c r="P62" s="103">
        <f t="shared" si="22"/>
        <v>0.5</v>
      </c>
      <c r="Q62" s="103">
        <f t="shared" si="23"/>
        <v>0</v>
      </c>
      <c r="R62" s="103">
        <f t="shared" si="24"/>
        <v>0</v>
      </c>
      <c r="S62" s="103">
        <f t="shared" si="25"/>
        <v>0.5</v>
      </c>
      <c r="T62" s="103">
        <f t="shared" si="26"/>
        <v>0.5</v>
      </c>
      <c r="U62" s="103">
        <f t="shared" si="27"/>
        <v>0</v>
      </c>
      <c r="V62" s="103">
        <f t="shared" si="28"/>
        <v>0</v>
      </c>
      <c r="W62" s="103">
        <f t="shared" si="29"/>
        <v>0.5</v>
      </c>
      <c r="X62" s="103">
        <f t="shared" si="30"/>
        <v>0</v>
      </c>
    </row>
    <row r="63" ht="15.75" customHeight="1">
      <c r="A63" s="104">
        <v>2.0</v>
      </c>
      <c r="B63" s="105">
        <f t="shared" si="9"/>
        <v>5.5</v>
      </c>
      <c r="C63" s="55" t="s">
        <v>188</v>
      </c>
      <c r="D63" s="106">
        <f t="shared" si="10"/>
        <v>5.5</v>
      </c>
      <c r="E63" s="107">
        <f t="shared" si="11"/>
        <v>0.5</v>
      </c>
      <c r="F63" s="108">
        <f t="shared" si="12"/>
        <v>0.5</v>
      </c>
      <c r="G63" s="108">
        <f t="shared" si="13"/>
        <v>0</v>
      </c>
      <c r="H63" s="108">
        <f t="shared" si="14"/>
        <v>0.5</v>
      </c>
      <c r="I63" s="108">
        <f t="shared" si="15"/>
        <v>0.5</v>
      </c>
      <c r="J63" s="108">
        <f t="shared" si="16"/>
        <v>0</v>
      </c>
      <c r="K63" s="108">
        <f t="shared" si="17"/>
        <v>0</v>
      </c>
      <c r="L63" s="108">
        <f t="shared" si="18"/>
        <v>0</v>
      </c>
      <c r="M63" s="108">
        <f t="shared" si="19"/>
        <v>0</v>
      </c>
      <c r="N63" s="108">
        <f t="shared" si="20"/>
        <v>0.5</v>
      </c>
      <c r="O63" s="108">
        <f t="shared" si="21"/>
        <v>0</v>
      </c>
      <c r="P63" s="108">
        <f t="shared" si="22"/>
        <v>0.5</v>
      </c>
      <c r="Q63" s="108">
        <f t="shared" si="23"/>
        <v>0.5</v>
      </c>
      <c r="R63" s="108">
        <f t="shared" si="24"/>
        <v>0</v>
      </c>
      <c r="S63" s="108">
        <f t="shared" si="25"/>
        <v>0</v>
      </c>
      <c r="T63" s="108">
        <f t="shared" si="26"/>
        <v>0.5</v>
      </c>
      <c r="U63" s="108">
        <f t="shared" si="27"/>
        <v>0.5</v>
      </c>
      <c r="V63" s="108">
        <f t="shared" si="28"/>
        <v>0.5</v>
      </c>
      <c r="W63" s="108">
        <f t="shared" si="29"/>
        <v>0.5</v>
      </c>
      <c r="X63" s="108">
        <f t="shared" si="30"/>
        <v>0</v>
      </c>
    </row>
    <row r="64" ht="15.75" customHeight="1">
      <c r="A64" s="104">
        <v>3.0</v>
      </c>
      <c r="B64" s="105">
        <f t="shared" si="9"/>
        <v>6</v>
      </c>
      <c r="C64" s="55" t="s">
        <v>190</v>
      </c>
      <c r="D64" s="106">
        <f t="shared" si="10"/>
        <v>6</v>
      </c>
      <c r="E64" s="107">
        <f t="shared" si="11"/>
        <v>0</v>
      </c>
      <c r="F64" s="108">
        <f t="shared" si="12"/>
        <v>0.5</v>
      </c>
      <c r="G64" s="108">
        <f t="shared" si="13"/>
        <v>0</v>
      </c>
      <c r="H64" s="108">
        <f t="shared" si="14"/>
        <v>0.5</v>
      </c>
      <c r="I64" s="108">
        <f t="shared" si="15"/>
        <v>0</v>
      </c>
      <c r="J64" s="108">
        <f t="shared" si="16"/>
        <v>0</v>
      </c>
      <c r="K64" s="108">
        <f t="shared" si="17"/>
        <v>0</v>
      </c>
      <c r="L64" s="108">
        <f t="shared" si="18"/>
        <v>0.5</v>
      </c>
      <c r="M64" s="108">
        <f t="shared" si="19"/>
        <v>0</v>
      </c>
      <c r="N64" s="108">
        <f t="shared" si="20"/>
        <v>0.5</v>
      </c>
      <c r="O64" s="108">
        <f t="shared" si="21"/>
        <v>0.5</v>
      </c>
      <c r="P64" s="108">
        <f t="shared" si="22"/>
        <v>0.5</v>
      </c>
      <c r="Q64" s="108">
        <f t="shared" si="23"/>
        <v>0.5</v>
      </c>
      <c r="R64" s="108">
        <f t="shared" si="24"/>
        <v>0</v>
      </c>
      <c r="S64" s="108">
        <f t="shared" si="25"/>
        <v>0.5</v>
      </c>
      <c r="T64" s="108">
        <f t="shared" si="26"/>
        <v>0.5</v>
      </c>
      <c r="U64" s="108">
        <f t="shared" si="27"/>
        <v>0.5</v>
      </c>
      <c r="V64" s="108">
        <f t="shared" si="28"/>
        <v>0</v>
      </c>
      <c r="W64" s="108">
        <f t="shared" si="29"/>
        <v>0.5</v>
      </c>
      <c r="X64" s="108">
        <f t="shared" si="30"/>
        <v>0.5</v>
      </c>
    </row>
    <row r="65" ht="15.75" customHeight="1">
      <c r="A65" s="104">
        <v>4.0</v>
      </c>
      <c r="B65" s="105">
        <f t="shared" si="9"/>
        <v>5.5</v>
      </c>
      <c r="C65" s="55" t="s">
        <v>192</v>
      </c>
      <c r="D65" s="106">
        <f t="shared" si="10"/>
        <v>5.5</v>
      </c>
      <c r="E65" s="107">
        <f t="shared" si="11"/>
        <v>0</v>
      </c>
      <c r="F65" s="108">
        <f t="shared" si="12"/>
        <v>0.5</v>
      </c>
      <c r="G65" s="108">
        <f t="shared" si="13"/>
        <v>0</v>
      </c>
      <c r="H65" s="108">
        <f t="shared" si="14"/>
        <v>0.5</v>
      </c>
      <c r="I65" s="108">
        <f t="shared" si="15"/>
        <v>0.5</v>
      </c>
      <c r="J65" s="108">
        <f t="shared" si="16"/>
        <v>0</v>
      </c>
      <c r="K65" s="108">
        <f t="shared" si="17"/>
        <v>0.5</v>
      </c>
      <c r="L65" s="108">
        <f t="shared" si="18"/>
        <v>0.5</v>
      </c>
      <c r="M65" s="108">
        <f t="shared" si="19"/>
        <v>0</v>
      </c>
      <c r="N65" s="108">
        <f t="shared" si="20"/>
        <v>0</v>
      </c>
      <c r="O65" s="108">
        <f t="shared" si="21"/>
        <v>0.5</v>
      </c>
      <c r="P65" s="108">
        <f t="shared" si="22"/>
        <v>0.5</v>
      </c>
      <c r="Q65" s="108">
        <f t="shared" si="23"/>
        <v>0.5</v>
      </c>
      <c r="R65" s="108">
        <f t="shared" si="24"/>
        <v>0</v>
      </c>
      <c r="S65" s="108">
        <f t="shared" si="25"/>
        <v>0.5</v>
      </c>
      <c r="T65" s="108">
        <f t="shared" si="26"/>
        <v>0.5</v>
      </c>
      <c r="U65" s="108">
        <f t="shared" si="27"/>
        <v>0.5</v>
      </c>
      <c r="V65" s="108">
        <f t="shared" si="28"/>
        <v>0</v>
      </c>
      <c r="W65" s="108">
        <f t="shared" si="29"/>
        <v>0</v>
      </c>
      <c r="X65" s="108">
        <f t="shared" si="30"/>
        <v>0</v>
      </c>
    </row>
    <row r="66" ht="15.75" customHeight="1">
      <c r="A66" s="104">
        <v>5.0</v>
      </c>
      <c r="B66" s="105">
        <f t="shared" si="9"/>
        <v>4.5</v>
      </c>
      <c r="C66" s="55" t="s">
        <v>194</v>
      </c>
      <c r="D66" s="106">
        <f t="shared" si="10"/>
        <v>4.5</v>
      </c>
      <c r="E66" s="107">
        <f t="shared" si="11"/>
        <v>0</v>
      </c>
      <c r="F66" s="108">
        <f t="shared" si="12"/>
        <v>0.5</v>
      </c>
      <c r="G66" s="108">
        <f t="shared" si="13"/>
        <v>0</v>
      </c>
      <c r="H66" s="108">
        <f t="shared" si="14"/>
        <v>0.5</v>
      </c>
      <c r="I66" s="108">
        <f t="shared" si="15"/>
        <v>0</v>
      </c>
      <c r="J66" s="108">
        <f t="shared" si="16"/>
        <v>0</v>
      </c>
      <c r="K66" s="108">
        <f t="shared" si="17"/>
        <v>0</v>
      </c>
      <c r="L66" s="108">
        <f t="shared" si="18"/>
        <v>0.5</v>
      </c>
      <c r="M66" s="108">
        <f t="shared" si="19"/>
        <v>0.5</v>
      </c>
      <c r="N66" s="108">
        <f t="shared" si="20"/>
        <v>0</v>
      </c>
      <c r="O66" s="108">
        <f t="shared" si="21"/>
        <v>0.5</v>
      </c>
      <c r="P66" s="108">
        <f t="shared" si="22"/>
        <v>0.5</v>
      </c>
      <c r="Q66" s="108">
        <f t="shared" si="23"/>
        <v>0.5</v>
      </c>
      <c r="R66" s="108">
        <f t="shared" si="24"/>
        <v>0</v>
      </c>
      <c r="S66" s="108">
        <f t="shared" si="25"/>
        <v>0</v>
      </c>
      <c r="T66" s="108">
        <f t="shared" si="26"/>
        <v>0.5</v>
      </c>
      <c r="U66" s="108">
        <f t="shared" si="27"/>
        <v>0.5</v>
      </c>
      <c r="V66" s="108">
        <f t="shared" si="28"/>
        <v>0</v>
      </c>
      <c r="W66" s="108">
        <f t="shared" si="29"/>
        <v>0</v>
      </c>
      <c r="X66" s="108">
        <f t="shared" si="30"/>
        <v>0</v>
      </c>
    </row>
    <row r="67" ht="15.75" customHeight="1">
      <c r="A67" s="104">
        <v>6.0</v>
      </c>
      <c r="B67" s="105">
        <f t="shared" si="9"/>
        <v>6.5</v>
      </c>
      <c r="C67" s="55" t="s">
        <v>196</v>
      </c>
      <c r="D67" s="106">
        <f t="shared" si="10"/>
        <v>6.5</v>
      </c>
      <c r="E67" s="107">
        <f t="shared" si="11"/>
        <v>0</v>
      </c>
      <c r="F67" s="108">
        <f t="shared" si="12"/>
        <v>0.5</v>
      </c>
      <c r="G67" s="108">
        <f t="shared" si="13"/>
        <v>0</v>
      </c>
      <c r="H67" s="108">
        <f t="shared" si="14"/>
        <v>0.5</v>
      </c>
      <c r="I67" s="108">
        <f t="shared" si="15"/>
        <v>0</v>
      </c>
      <c r="J67" s="108">
        <f t="shared" si="16"/>
        <v>0</v>
      </c>
      <c r="K67" s="108">
        <f t="shared" si="17"/>
        <v>0.5</v>
      </c>
      <c r="L67" s="108">
        <f t="shared" si="18"/>
        <v>0.5</v>
      </c>
      <c r="M67" s="108">
        <f t="shared" si="19"/>
        <v>0</v>
      </c>
      <c r="N67" s="108">
        <f t="shared" si="20"/>
        <v>0.5</v>
      </c>
      <c r="O67" s="108">
        <f t="shared" si="21"/>
        <v>0.5</v>
      </c>
      <c r="P67" s="108">
        <f t="shared" si="22"/>
        <v>0.5</v>
      </c>
      <c r="Q67" s="108">
        <f t="shared" si="23"/>
        <v>0.5</v>
      </c>
      <c r="R67" s="108">
        <f t="shared" si="24"/>
        <v>0</v>
      </c>
      <c r="S67" s="108">
        <f t="shared" si="25"/>
        <v>0.5</v>
      </c>
      <c r="T67" s="108">
        <f t="shared" si="26"/>
        <v>0.5</v>
      </c>
      <c r="U67" s="108">
        <f t="shared" si="27"/>
        <v>0.5</v>
      </c>
      <c r="V67" s="108">
        <f t="shared" si="28"/>
        <v>0</v>
      </c>
      <c r="W67" s="108">
        <f t="shared" si="29"/>
        <v>0.5</v>
      </c>
      <c r="X67" s="108">
        <f t="shared" si="30"/>
        <v>0.5</v>
      </c>
    </row>
    <row r="68" ht="15.75" customHeight="1">
      <c r="A68" s="104">
        <v>7.0</v>
      </c>
      <c r="B68" s="105">
        <f t="shared" si="9"/>
        <v>5.5</v>
      </c>
      <c r="C68" s="55" t="s">
        <v>198</v>
      </c>
      <c r="D68" s="106">
        <f t="shared" si="10"/>
        <v>5.5</v>
      </c>
      <c r="E68" s="107">
        <f t="shared" si="11"/>
        <v>0</v>
      </c>
      <c r="F68" s="108">
        <f t="shared" si="12"/>
        <v>0.5</v>
      </c>
      <c r="G68" s="108">
        <f t="shared" si="13"/>
        <v>0.5</v>
      </c>
      <c r="H68" s="108">
        <f t="shared" si="14"/>
        <v>0.5</v>
      </c>
      <c r="I68" s="108">
        <f t="shared" si="15"/>
        <v>0</v>
      </c>
      <c r="J68" s="108">
        <f t="shared" si="16"/>
        <v>0</v>
      </c>
      <c r="K68" s="108">
        <f t="shared" si="17"/>
        <v>0.5</v>
      </c>
      <c r="L68" s="108">
        <f t="shared" si="18"/>
        <v>0.5</v>
      </c>
      <c r="M68" s="108">
        <f t="shared" si="19"/>
        <v>0</v>
      </c>
      <c r="N68" s="108">
        <f t="shared" si="20"/>
        <v>0</v>
      </c>
      <c r="O68" s="108">
        <f t="shared" si="21"/>
        <v>0.5</v>
      </c>
      <c r="P68" s="108">
        <f t="shared" si="22"/>
        <v>0.5</v>
      </c>
      <c r="Q68" s="108">
        <f t="shared" si="23"/>
        <v>0.5</v>
      </c>
      <c r="R68" s="108">
        <f t="shared" si="24"/>
        <v>0</v>
      </c>
      <c r="S68" s="108">
        <f t="shared" si="25"/>
        <v>0.5</v>
      </c>
      <c r="T68" s="108">
        <f t="shared" si="26"/>
        <v>0.5</v>
      </c>
      <c r="U68" s="108">
        <f t="shared" si="27"/>
        <v>0</v>
      </c>
      <c r="V68" s="108">
        <f t="shared" si="28"/>
        <v>0</v>
      </c>
      <c r="W68" s="108">
        <f t="shared" si="29"/>
        <v>0</v>
      </c>
      <c r="X68" s="108">
        <f t="shared" si="30"/>
        <v>0.5</v>
      </c>
    </row>
    <row r="69" ht="15.75" customHeight="1">
      <c r="A69" s="104">
        <v>8.0</v>
      </c>
      <c r="B69" s="105">
        <f t="shared" si="9"/>
        <v>5</v>
      </c>
      <c r="C69" s="55" t="s">
        <v>200</v>
      </c>
      <c r="D69" s="106">
        <f t="shared" si="10"/>
        <v>5</v>
      </c>
      <c r="E69" s="107">
        <f t="shared" si="11"/>
        <v>0</v>
      </c>
      <c r="F69" s="108">
        <f t="shared" si="12"/>
        <v>0.5</v>
      </c>
      <c r="G69" s="108">
        <f t="shared" si="13"/>
        <v>0</v>
      </c>
      <c r="H69" s="108">
        <f t="shared" si="14"/>
        <v>0.5</v>
      </c>
      <c r="I69" s="108">
        <f t="shared" si="15"/>
        <v>0</v>
      </c>
      <c r="J69" s="108">
        <f t="shared" si="16"/>
        <v>0</v>
      </c>
      <c r="K69" s="108">
        <f t="shared" si="17"/>
        <v>0</v>
      </c>
      <c r="L69" s="108">
        <f t="shared" si="18"/>
        <v>0.5</v>
      </c>
      <c r="M69" s="108">
        <f t="shared" si="19"/>
        <v>0.5</v>
      </c>
      <c r="N69" s="108">
        <f t="shared" si="20"/>
        <v>0.5</v>
      </c>
      <c r="O69" s="108">
        <f t="shared" si="21"/>
        <v>0.5</v>
      </c>
      <c r="P69" s="108">
        <f t="shared" si="22"/>
        <v>0.5</v>
      </c>
      <c r="Q69" s="108">
        <f t="shared" si="23"/>
        <v>0.5</v>
      </c>
      <c r="R69" s="108">
        <f t="shared" si="24"/>
        <v>0</v>
      </c>
      <c r="S69" s="108">
        <f t="shared" si="25"/>
        <v>0</v>
      </c>
      <c r="T69" s="108">
        <f t="shared" si="26"/>
        <v>0.5</v>
      </c>
      <c r="U69" s="108">
        <f t="shared" si="27"/>
        <v>0.5</v>
      </c>
      <c r="V69" s="108">
        <f t="shared" si="28"/>
        <v>0</v>
      </c>
      <c r="W69" s="108">
        <f t="shared" si="29"/>
        <v>0</v>
      </c>
      <c r="X69" s="108">
        <f t="shared" si="30"/>
        <v>0</v>
      </c>
    </row>
    <row r="70" ht="15.75" customHeight="1">
      <c r="A70" s="104">
        <v>9.0</v>
      </c>
      <c r="B70" s="105">
        <f t="shared" si="9"/>
        <v>5</v>
      </c>
      <c r="C70" s="55" t="s">
        <v>202</v>
      </c>
      <c r="D70" s="106">
        <f t="shared" si="10"/>
        <v>5</v>
      </c>
      <c r="E70" s="107">
        <f t="shared" si="11"/>
        <v>0.5</v>
      </c>
      <c r="F70" s="108">
        <f t="shared" si="12"/>
        <v>0</v>
      </c>
      <c r="G70" s="108">
        <f t="shared" si="13"/>
        <v>0</v>
      </c>
      <c r="H70" s="108">
        <f t="shared" si="14"/>
        <v>0.5</v>
      </c>
      <c r="I70" s="108">
        <f t="shared" si="15"/>
        <v>0</v>
      </c>
      <c r="J70" s="108">
        <f t="shared" si="16"/>
        <v>0.5</v>
      </c>
      <c r="K70" s="108">
        <f t="shared" si="17"/>
        <v>0.5</v>
      </c>
      <c r="L70" s="108">
        <f t="shared" si="18"/>
        <v>0</v>
      </c>
      <c r="M70" s="108">
        <f t="shared" si="19"/>
        <v>0.5</v>
      </c>
      <c r="N70" s="108">
        <f t="shared" si="20"/>
        <v>0</v>
      </c>
      <c r="O70" s="108">
        <f t="shared" si="21"/>
        <v>0.5</v>
      </c>
      <c r="P70" s="108">
        <f t="shared" si="22"/>
        <v>0.5</v>
      </c>
      <c r="Q70" s="108">
        <f t="shared" si="23"/>
        <v>0</v>
      </c>
      <c r="R70" s="108">
        <f t="shared" si="24"/>
        <v>0</v>
      </c>
      <c r="S70" s="108">
        <f t="shared" si="25"/>
        <v>0</v>
      </c>
      <c r="T70" s="108">
        <f t="shared" si="26"/>
        <v>0.5</v>
      </c>
      <c r="U70" s="108">
        <f t="shared" si="27"/>
        <v>0.5</v>
      </c>
      <c r="V70" s="108">
        <f t="shared" si="28"/>
        <v>0</v>
      </c>
      <c r="W70" s="108">
        <f t="shared" si="29"/>
        <v>0.5</v>
      </c>
      <c r="X70" s="108">
        <f t="shared" si="30"/>
        <v>0</v>
      </c>
    </row>
    <row r="71" ht="15.75" customHeight="1">
      <c r="A71" s="104">
        <v>10.0</v>
      </c>
      <c r="B71" s="105">
        <f t="shared" si="9"/>
        <v>3</v>
      </c>
      <c r="C71" s="55" t="s">
        <v>204</v>
      </c>
      <c r="D71" s="106">
        <f t="shared" si="10"/>
        <v>3</v>
      </c>
      <c r="E71" s="107">
        <f t="shared" si="11"/>
        <v>0</v>
      </c>
      <c r="F71" s="108">
        <f t="shared" si="12"/>
        <v>0.5</v>
      </c>
      <c r="G71" s="108">
        <f t="shared" si="13"/>
        <v>0</v>
      </c>
      <c r="H71" s="108">
        <f t="shared" si="14"/>
        <v>0.5</v>
      </c>
      <c r="I71" s="108">
        <f t="shared" si="15"/>
        <v>0</v>
      </c>
      <c r="J71" s="108">
        <f t="shared" si="16"/>
        <v>0</v>
      </c>
      <c r="K71" s="108">
        <f t="shared" si="17"/>
        <v>0</v>
      </c>
      <c r="L71" s="108">
        <f t="shared" si="18"/>
        <v>0</v>
      </c>
      <c r="M71" s="108">
        <f t="shared" si="19"/>
        <v>0</v>
      </c>
      <c r="N71" s="108">
        <f t="shared" si="20"/>
        <v>0.5</v>
      </c>
      <c r="O71" s="108">
        <f t="shared" si="21"/>
        <v>0</v>
      </c>
      <c r="P71" s="108">
        <f t="shared" si="22"/>
        <v>0.5</v>
      </c>
      <c r="Q71" s="108">
        <f t="shared" si="23"/>
        <v>0.5</v>
      </c>
      <c r="R71" s="108">
        <f t="shared" si="24"/>
        <v>0</v>
      </c>
      <c r="S71" s="108">
        <f t="shared" si="25"/>
        <v>0</v>
      </c>
      <c r="T71" s="108">
        <f t="shared" si="26"/>
        <v>0.5</v>
      </c>
      <c r="U71" s="108">
        <f t="shared" si="27"/>
        <v>0</v>
      </c>
      <c r="V71" s="108">
        <f t="shared" si="28"/>
        <v>0</v>
      </c>
      <c r="W71" s="108">
        <f t="shared" si="29"/>
        <v>0</v>
      </c>
      <c r="X71" s="108">
        <f t="shared" si="30"/>
        <v>0</v>
      </c>
    </row>
    <row r="72" ht="15.75" customHeight="1">
      <c r="A72" s="104">
        <v>11.0</v>
      </c>
      <c r="B72" s="105">
        <f t="shared" si="9"/>
        <v>5.5</v>
      </c>
      <c r="C72" s="58" t="s">
        <v>206</v>
      </c>
      <c r="D72" s="106">
        <f t="shared" si="10"/>
        <v>5.5</v>
      </c>
      <c r="E72" s="107">
        <f t="shared" si="11"/>
        <v>0</v>
      </c>
      <c r="F72" s="108">
        <f t="shared" si="12"/>
        <v>0.5</v>
      </c>
      <c r="G72" s="108">
        <f t="shared" si="13"/>
        <v>0</v>
      </c>
      <c r="H72" s="108">
        <f t="shared" si="14"/>
        <v>0.5</v>
      </c>
      <c r="I72" s="108">
        <f t="shared" si="15"/>
        <v>0</v>
      </c>
      <c r="J72" s="108">
        <f t="shared" si="16"/>
        <v>0</v>
      </c>
      <c r="K72" s="108">
        <f t="shared" si="17"/>
        <v>0</v>
      </c>
      <c r="L72" s="108">
        <f t="shared" si="18"/>
        <v>0.5</v>
      </c>
      <c r="M72" s="108">
        <f t="shared" si="19"/>
        <v>0.5</v>
      </c>
      <c r="N72" s="108">
        <f t="shared" si="20"/>
        <v>0</v>
      </c>
      <c r="O72" s="108">
        <f t="shared" si="21"/>
        <v>0.5</v>
      </c>
      <c r="P72" s="108">
        <f t="shared" si="22"/>
        <v>0.5</v>
      </c>
      <c r="Q72" s="108">
        <f t="shared" si="23"/>
        <v>0.5</v>
      </c>
      <c r="R72" s="108">
        <f t="shared" si="24"/>
        <v>0</v>
      </c>
      <c r="S72" s="108">
        <f t="shared" si="25"/>
        <v>0.5</v>
      </c>
      <c r="T72" s="108">
        <f t="shared" si="26"/>
        <v>0.5</v>
      </c>
      <c r="U72" s="108">
        <f t="shared" si="27"/>
        <v>0.5</v>
      </c>
      <c r="V72" s="108">
        <f t="shared" si="28"/>
        <v>0</v>
      </c>
      <c r="W72" s="108">
        <f t="shared" si="29"/>
        <v>0</v>
      </c>
      <c r="X72" s="108">
        <f t="shared" si="30"/>
        <v>0.5</v>
      </c>
    </row>
    <row r="73" ht="15.75" customHeight="1">
      <c r="A73" s="104">
        <v>12.0</v>
      </c>
      <c r="B73" s="105">
        <f t="shared" si="9"/>
        <v>3</v>
      </c>
      <c r="C73" s="55" t="s">
        <v>208</v>
      </c>
      <c r="D73" s="106">
        <f t="shared" si="10"/>
        <v>3</v>
      </c>
      <c r="E73" s="107">
        <f t="shared" si="11"/>
        <v>0</v>
      </c>
      <c r="F73" s="108">
        <f t="shared" si="12"/>
        <v>0</v>
      </c>
      <c r="G73" s="108">
        <f t="shared" si="13"/>
        <v>0</v>
      </c>
      <c r="H73" s="108">
        <f t="shared" si="14"/>
        <v>0.5</v>
      </c>
      <c r="I73" s="108">
        <f t="shared" si="15"/>
        <v>0</v>
      </c>
      <c r="J73" s="108">
        <f t="shared" si="16"/>
        <v>0</v>
      </c>
      <c r="K73" s="108">
        <f t="shared" si="17"/>
        <v>0.5</v>
      </c>
      <c r="L73" s="108">
        <f t="shared" si="18"/>
        <v>0</v>
      </c>
      <c r="M73" s="108">
        <f t="shared" si="19"/>
        <v>0</v>
      </c>
      <c r="N73" s="108">
        <f t="shared" si="20"/>
        <v>0</v>
      </c>
      <c r="O73" s="108">
        <f t="shared" si="21"/>
        <v>0</v>
      </c>
      <c r="P73" s="108">
        <f t="shared" si="22"/>
        <v>0.5</v>
      </c>
      <c r="Q73" s="108">
        <f t="shared" si="23"/>
        <v>0</v>
      </c>
      <c r="R73" s="108">
        <f t="shared" si="24"/>
        <v>0</v>
      </c>
      <c r="S73" s="108">
        <f t="shared" si="25"/>
        <v>0</v>
      </c>
      <c r="T73" s="108">
        <f t="shared" si="26"/>
        <v>0.5</v>
      </c>
      <c r="U73" s="108">
        <f t="shared" si="27"/>
        <v>0.5</v>
      </c>
      <c r="V73" s="108">
        <f t="shared" si="28"/>
        <v>0.5</v>
      </c>
      <c r="W73" s="108">
        <f t="shared" si="29"/>
        <v>0</v>
      </c>
      <c r="X73" s="108">
        <f t="shared" si="30"/>
        <v>0</v>
      </c>
    </row>
    <row r="74" ht="15.75" customHeight="1">
      <c r="A74" s="104">
        <v>13.0</v>
      </c>
      <c r="B74" s="105">
        <f t="shared" si="9"/>
        <v>2</v>
      </c>
      <c r="C74" s="57" t="s">
        <v>210</v>
      </c>
      <c r="D74" s="106">
        <f t="shared" si="10"/>
        <v>2</v>
      </c>
      <c r="E74" s="107">
        <f t="shared" si="11"/>
        <v>0</v>
      </c>
      <c r="F74" s="108">
        <f t="shared" si="12"/>
        <v>0</v>
      </c>
      <c r="G74" s="108">
        <f t="shared" si="13"/>
        <v>0</v>
      </c>
      <c r="H74" s="108">
        <f t="shared" si="14"/>
        <v>0</v>
      </c>
      <c r="I74" s="108">
        <f t="shared" si="15"/>
        <v>0</v>
      </c>
      <c r="J74" s="108">
        <f t="shared" si="16"/>
        <v>0</v>
      </c>
      <c r="K74" s="108">
        <f t="shared" si="17"/>
        <v>0</v>
      </c>
      <c r="L74" s="108">
        <f t="shared" si="18"/>
        <v>0</v>
      </c>
      <c r="M74" s="108">
        <f t="shared" si="19"/>
        <v>0</v>
      </c>
      <c r="N74" s="108">
        <f t="shared" si="20"/>
        <v>0</v>
      </c>
      <c r="O74" s="108">
        <f t="shared" si="21"/>
        <v>0</v>
      </c>
      <c r="P74" s="108">
        <f t="shared" si="22"/>
        <v>0</v>
      </c>
      <c r="Q74" s="108">
        <f t="shared" si="23"/>
        <v>0.5</v>
      </c>
      <c r="R74" s="108">
        <f t="shared" si="24"/>
        <v>0</v>
      </c>
      <c r="S74" s="108">
        <f t="shared" si="25"/>
        <v>0</v>
      </c>
      <c r="T74" s="108">
        <f t="shared" si="26"/>
        <v>0.5</v>
      </c>
      <c r="U74" s="108">
        <f t="shared" si="27"/>
        <v>0.5</v>
      </c>
      <c r="V74" s="108">
        <f t="shared" si="28"/>
        <v>0.5</v>
      </c>
      <c r="W74" s="108">
        <f t="shared" si="29"/>
        <v>0</v>
      </c>
      <c r="X74" s="108">
        <f t="shared" si="30"/>
        <v>0</v>
      </c>
    </row>
    <row r="75" ht="15.75" customHeight="1">
      <c r="A75" s="104">
        <v>14.0</v>
      </c>
      <c r="B75" s="105">
        <f t="shared" si="9"/>
        <v>5</v>
      </c>
      <c r="C75" s="55" t="s">
        <v>212</v>
      </c>
      <c r="D75" s="106">
        <f t="shared" si="10"/>
        <v>5</v>
      </c>
      <c r="E75" s="107">
        <f t="shared" si="11"/>
        <v>0</v>
      </c>
      <c r="F75" s="108">
        <f t="shared" si="12"/>
        <v>0.5</v>
      </c>
      <c r="G75" s="108">
        <f t="shared" si="13"/>
        <v>0</v>
      </c>
      <c r="H75" s="108">
        <f t="shared" si="14"/>
        <v>0.5</v>
      </c>
      <c r="I75" s="108">
        <f t="shared" si="15"/>
        <v>0</v>
      </c>
      <c r="J75" s="108">
        <f t="shared" si="16"/>
        <v>0</v>
      </c>
      <c r="K75" s="108">
        <f t="shared" si="17"/>
        <v>0</v>
      </c>
      <c r="L75" s="108">
        <f t="shared" si="18"/>
        <v>0.5</v>
      </c>
      <c r="M75" s="108">
        <f t="shared" si="19"/>
        <v>0</v>
      </c>
      <c r="N75" s="108">
        <f t="shared" si="20"/>
        <v>0.5</v>
      </c>
      <c r="O75" s="108">
        <f t="shared" si="21"/>
        <v>0</v>
      </c>
      <c r="P75" s="108">
        <f t="shared" si="22"/>
        <v>0.5</v>
      </c>
      <c r="Q75" s="108">
        <f t="shared" si="23"/>
        <v>0.5</v>
      </c>
      <c r="R75" s="108">
        <f t="shared" si="24"/>
        <v>0</v>
      </c>
      <c r="S75" s="108">
        <f t="shared" si="25"/>
        <v>0.5</v>
      </c>
      <c r="T75" s="108">
        <f t="shared" si="26"/>
        <v>0.5</v>
      </c>
      <c r="U75" s="108">
        <f t="shared" si="27"/>
        <v>0.5</v>
      </c>
      <c r="V75" s="108">
        <f t="shared" si="28"/>
        <v>0</v>
      </c>
      <c r="W75" s="108">
        <f t="shared" si="29"/>
        <v>0.5</v>
      </c>
      <c r="X75" s="108">
        <f t="shared" si="30"/>
        <v>0</v>
      </c>
    </row>
    <row r="76" ht="15.75" customHeight="1">
      <c r="A76" s="104">
        <v>15.0</v>
      </c>
      <c r="B76" s="105">
        <f t="shared" si="9"/>
        <v>5</v>
      </c>
      <c r="C76" s="55" t="s">
        <v>214</v>
      </c>
      <c r="D76" s="106">
        <f t="shared" si="10"/>
        <v>5</v>
      </c>
      <c r="E76" s="107">
        <f t="shared" si="11"/>
        <v>0</v>
      </c>
      <c r="F76" s="108">
        <f t="shared" si="12"/>
        <v>0.5</v>
      </c>
      <c r="G76" s="108">
        <f t="shared" si="13"/>
        <v>0</v>
      </c>
      <c r="H76" s="108">
        <f t="shared" si="14"/>
        <v>0</v>
      </c>
      <c r="I76" s="108">
        <f t="shared" si="15"/>
        <v>0.5</v>
      </c>
      <c r="J76" s="108">
        <f t="shared" si="16"/>
        <v>0.5</v>
      </c>
      <c r="K76" s="108">
        <f t="shared" si="17"/>
        <v>0</v>
      </c>
      <c r="L76" s="108">
        <f t="shared" si="18"/>
        <v>0</v>
      </c>
      <c r="M76" s="108">
        <f t="shared" si="19"/>
        <v>0.5</v>
      </c>
      <c r="N76" s="108">
        <f t="shared" si="20"/>
        <v>0</v>
      </c>
      <c r="O76" s="108">
        <f t="shared" si="21"/>
        <v>0.5</v>
      </c>
      <c r="P76" s="108">
        <f t="shared" si="22"/>
        <v>0.5</v>
      </c>
      <c r="Q76" s="108">
        <f t="shared" si="23"/>
        <v>0.5</v>
      </c>
      <c r="R76" s="108">
        <f t="shared" si="24"/>
        <v>0</v>
      </c>
      <c r="S76" s="108">
        <f t="shared" si="25"/>
        <v>0</v>
      </c>
      <c r="T76" s="108">
        <f t="shared" si="26"/>
        <v>0.5</v>
      </c>
      <c r="U76" s="108">
        <f t="shared" si="27"/>
        <v>0.5</v>
      </c>
      <c r="V76" s="108">
        <f t="shared" si="28"/>
        <v>0</v>
      </c>
      <c r="W76" s="108">
        <f t="shared" si="29"/>
        <v>0.5</v>
      </c>
      <c r="X76" s="108">
        <f t="shared" si="30"/>
        <v>0</v>
      </c>
    </row>
    <row r="77" ht="15.75" customHeight="1">
      <c r="A77" s="104">
        <v>16.0</v>
      </c>
      <c r="B77" s="105">
        <f t="shared" si="9"/>
        <v>4.5</v>
      </c>
      <c r="C77" s="55" t="s">
        <v>216</v>
      </c>
      <c r="D77" s="106">
        <f t="shared" si="10"/>
        <v>4.5</v>
      </c>
      <c r="E77" s="107">
        <f t="shared" si="11"/>
        <v>0</v>
      </c>
      <c r="F77" s="108">
        <f t="shared" si="12"/>
        <v>0.5</v>
      </c>
      <c r="G77" s="108">
        <f t="shared" si="13"/>
        <v>0</v>
      </c>
      <c r="H77" s="108">
        <f t="shared" si="14"/>
        <v>0.5</v>
      </c>
      <c r="I77" s="108">
        <f t="shared" si="15"/>
        <v>0</v>
      </c>
      <c r="J77" s="108">
        <f t="shared" si="16"/>
        <v>0</v>
      </c>
      <c r="K77" s="108">
        <f t="shared" si="17"/>
        <v>0</v>
      </c>
      <c r="L77" s="108">
        <f t="shared" si="18"/>
        <v>0</v>
      </c>
      <c r="M77" s="108">
        <f t="shared" si="19"/>
        <v>0.5</v>
      </c>
      <c r="N77" s="108">
        <f t="shared" si="20"/>
        <v>0.5</v>
      </c>
      <c r="O77" s="108">
        <f t="shared" si="21"/>
        <v>0</v>
      </c>
      <c r="P77" s="108">
        <f t="shared" si="22"/>
        <v>0.5</v>
      </c>
      <c r="Q77" s="108">
        <f t="shared" si="23"/>
        <v>0.5</v>
      </c>
      <c r="R77" s="108">
        <f t="shared" si="24"/>
        <v>0</v>
      </c>
      <c r="S77" s="108">
        <f t="shared" si="25"/>
        <v>0.5</v>
      </c>
      <c r="T77" s="108">
        <f t="shared" si="26"/>
        <v>0.5</v>
      </c>
      <c r="U77" s="108">
        <f t="shared" si="27"/>
        <v>0</v>
      </c>
      <c r="V77" s="108">
        <f t="shared" si="28"/>
        <v>0.5</v>
      </c>
      <c r="W77" s="108">
        <f t="shared" si="29"/>
        <v>0</v>
      </c>
      <c r="X77" s="108">
        <f t="shared" si="30"/>
        <v>0</v>
      </c>
    </row>
    <row r="78" ht="15.75" customHeight="1">
      <c r="A78" s="104">
        <v>17.0</v>
      </c>
      <c r="B78" s="105">
        <f t="shared" si="9"/>
        <v>5.5</v>
      </c>
      <c r="C78" s="55" t="s">
        <v>218</v>
      </c>
      <c r="D78" s="106">
        <f t="shared" si="10"/>
        <v>5.5</v>
      </c>
      <c r="E78" s="107">
        <f t="shared" si="11"/>
        <v>0</v>
      </c>
      <c r="F78" s="108">
        <f t="shared" si="12"/>
        <v>0.5</v>
      </c>
      <c r="G78" s="108">
        <f t="shared" si="13"/>
        <v>0</v>
      </c>
      <c r="H78" s="108">
        <f t="shared" si="14"/>
        <v>0.5</v>
      </c>
      <c r="I78" s="108">
        <f t="shared" si="15"/>
        <v>0</v>
      </c>
      <c r="J78" s="108">
        <f t="shared" si="16"/>
        <v>0.5</v>
      </c>
      <c r="K78" s="108">
        <f t="shared" si="17"/>
        <v>0.5</v>
      </c>
      <c r="L78" s="108">
        <f t="shared" si="18"/>
        <v>0.5</v>
      </c>
      <c r="M78" s="108">
        <f t="shared" si="19"/>
        <v>0.5</v>
      </c>
      <c r="N78" s="108">
        <f t="shared" si="20"/>
        <v>0.5</v>
      </c>
      <c r="O78" s="108">
        <f t="shared" si="21"/>
        <v>0</v>
      </c>
      <c r="P78" s="108">
        <f t="shared" si="22"/>
        <v>0.5</v>
      </c>
      <c r="Q78" s="108">
        <f t="shared" si="23"/>
        <v>0</v>
      </c>
      <c r="R78" s="108">
        <f t="shared" si="24"/>
        <v>0</v>
      </c>
      <c r="S78" s="108">
        <f t="shared" si="25"/>
        <v>0</v>
      </c>
      <c r="T78" s="108">
        <f t="shared" si="26"/>
        <v>0.5</v>
      </c>
      <c r="U78" s="108">
        <f t="shared" si="27"/>
        <v>0.5</v>
      </c>
      <c r="V78" s="108">
        <f t="shared" si="28"/>
        <v>0</v>
      </c>
      <c r="W78" s="108">
        <f t="shared" si="29"/>
        <v>0.5</v>
      </c>
      <c r="X78" s="108">
        <f t="shared" si="30"/>
        <v>0</v>
      </c>
    </row>
    <row r="79" ht="15.75" customHeight="1">
      <c r="A79" s="104">
        <v>18.0</v>
      </c>
      <c r="B79" s="105">
        <f t="shared" si="9"/>
        <v>5</v>
      </c>
      <c r="C79" s="55" t="s">
        <v>220</v>
      </c>
      <c r="D79" s="106">
        <f t="shared" si="10"/>
        <v>5</v>
      </c>
      <c r="E79" s="107">
        <f t="shared" si="11"/>
        <v>0</v>
      </c>
      <c r="F79" s="108">
        <f t="shared" si="12"/>
        <v>0.5</v>
      </c>
      <c r="G79" s="108">
        <f t="shared" si="13"/>
        <v>0</v>
      </c>
      <c r="H79" s="108">
        <f t="shared" si="14"/>
        <v>0</v>
      </c>
      <c r="I79" s="108">
        <f t="shared" si="15"/>
        <v>0.5</v>
      </c>
      <c r="J79" s="108">
        <f t="shared" si="16"/>
        <v>0</v>
      </c>
      <c r="K79" s="108">
        <f t="shared" si="17"/>
        <v>0</v>
      </c>
      <c r="L79" s="108">
        <f t="shared" si="18"/>
        <v>0</v>
      </c>
      <c r="M79" s="108">
        <f t="shared" si="19"/>
        <v>0.5</v>
      </c>
      <c r="N79" s="108">
        <f t="shared" si="20"/>
        <v>0</v>
      </c>
      <c r="O79" s="108">
        <f t="shared" si="21"/>
        <v>0.5</v>
      </c>
      <c r="P79" s="108">
        <f t="shared" si="22"/>
        <v>0.5</v>
      </c>
      <c r="Q79" s="108">
        <f t="shared" si="23"/>
        <v>0.5</v>
      </c>
      <c r="R79" s="108">
        <f t="shared" si="24"/>
        <v>0.5</v>
      </c>
      <c r="S79" s="108">
        <f t="shared" si="25"/>
        <v>0</v>
      </c>
      <c r="T79" s="108">
        <f t="shared" si="26"/>
        <v>0.5</v>
      </c>
      <c r="U79" s="108">
        <f t="shared" si="27"/>
        <v>0.5</v>
      </c>
      <c r="V79" s="108">
        <f t="shared" si="28"/>
        <v>0</v>
      </c>
      <c r="W79" s="108">
        <f t="shared" si="29"/>
        <v>0.5</v>
      </c>
      <c r="X79" s="108">
        <f t="shared" si="30"/>
        <v>0</v>
      </c>
    </row>
    <row r="80" ht="15.75" customHeight="1">
      <c r="A80" s="104">
        <v>19.0</v>
      </c>
      <c r="B80" s="105">
        <f t="shared" si="9"/>
        <v>5.5</v>
      </c>
      <c r="C80" s="55" t="s">
        <v>222</v>
      </c>
      <c r="D80" s="106">
        <f t="shared" si="10"/>
        <v>5.5</v>
      </c>
      <c r="E80" s="107">
        <f t="shared" si="11"/>
        <v>0</v>
      </c>
      <c r="F80" s="108">
        <f t="shared" si="12"/>
        <v>0.5</v>
      </c>
      <c r="G80" s="108">
        <f t="shared" si="13"/>
        <v>0.5</v>
      </c>
      <c r="H80" s="108">
        <f t="shared" si="14"/>
        <v>0.5</v>
      </c>
      <c r="I80" s="108">
        <f t="shared" si="15"/>
        <v>0</v>
      </c>
      <c r="J80" s="108">
        <f t="shared" si="16"/>
        <v>0.5</v>
      </c>
      <c r="K80" s="108">
        <f t="shared" si="17"/>
        <v>0</v>
      </c>
      <c r="L80" s="108">
        <f t="shared" si="18"/>
        <v>0.5</v>
      </c>
      <c r="M80" s="108">
        <f t="shared" si="19"/>
        <v>0.5</v>
      </c>
      <c r="N80" s="108">
        <f t="shared" si="20"/>
        <v>0.5</v>
      </c>
      <c r="O80" s="108">
        <f t="shared" si="21"/>
        <v>0.5</v>
      </c>
      <c r="P80" s="108">
        <f t="shared" si="22"/>
        <v>0.5</v>
      </c>
      <c r="Q80" s="108">
        <f t="shared" si="23"/>
        <v>0.5</v>
      </c>
      <c r="R80" s="108">
        <f t="shared" si="24"/>
        <v>0</v>
      </c>
      <c r="S80" s="108">
        <f t="shared" si="25"/>
        <v>0</v>
      </c>
      <c r="T80" s="108">
        <f t="shared" si="26"/>
        <v>0.5</v>
      </c>
      <c r="U80" s="108">
        <f t="shared" si="27"/>
        <v>0</v>
      </c>
      <c r="V80" s="108">
        <f t="shared" si="28"/>
        <v>0</v>
      </c>
      <c r="W80" s="108">
        <f t="shared" si="29"/>
        <v>0</v>
      </c>
      <c r="X80" s="108">
        <f t="shared" si="30"/>
        <v>0</v>
      </c>
    </row>
    <row r="81" ht="15.75" customHeight="1">
      <c r="A81" s="104">
        <v>20.0</v>
      </c>
      <c r="B81" s="105">
        <f t="shared" si="9"/>
        <v>3.5</v>
      </c>
      <c r="C81" s="55" t="s">
        <v>225</v>
      </c>
      <c r="D81" s="106">
        <f t="shared" si="10"/>
        <v>3.5</v>
      </c>
      <c r="E81" s="107">
        <f t="shared" si="11"/>
        <v>0</v>
      </c>
      <c r="F81" s="108">
        <f t="shared" si="12"/>
        <v>0.5</v>
      </c>
      <c r="G81" s="108">
        <f t="shared" si="13"/>
        <v>0</v>
      </c>
      <c r="H81" s="108">
        <f t="shared" si="14"/>
        <v>0.5</v>
      </c>
      <c r="I81" s="108">
        <f t="shared" si="15"/>
        <v>0</v>
      </c>
      <c r="J81" s="108">
        <f t="shared" si="16"/>
        <v>0</v>
      </c>
      <c r="K81" s="108">
        <f t="shared" si="17"/>
        <v>0</v>
      </c>
      <c r="L81" s="108">
        <f t="shared" si="18"/>
        <v>0</v>
      </c>
      <c r="M81" s="108">
        <f t="shared" si="19"/>
        <v>0</v>
      </c>
      <c r="N81" s="108">
        <f t="shared" si="20"/>
        <v>0</v>
      </c>
      <c r="O81" s="108">
        <f t="shared" si="21"/>
        <v>0.5</v>
      </c>
      <c r="P81" s="108">
        <f t="shared" si="22"/>
        <v>0.5</v>
      </c>
      <c r="Q81" s="108">
        <f t="shared" si="23"/>
        <v>0.5</v>
      </c>
      <c r="R81" s="108">
        <f t="shared" si="24"/>
        <v>0</v>
      </c>
      <c r="S81" s="108">
        <f t="shared" si="25"/>
        <v>0</v>
      </c>
      <c r="T81" s="108">
        <f t="shared" si="26"/>
        <v>0.5</v>
      </c>
      <c r="U81" s="108">
        <f t="shared" si="27"/>
        <v>0.5</v>
      </c>
      <c r="V81" s="108">
        <f t="shared" si="28"/>
        <v>0</v>
      </c>
      <c r="W81" s="108">
        <f t="shared" si="29"/>
        <v>0</v>
      </c>
      <c r="X81" s="108">
        <f t="shared" si="30"/>
        <v>0</v>
      </c>
    </row>
    <row r="82" ht="15.75" customHeight="1">
      <c r="A82" s="104">
        <v>21.0</v>
      </c>
      <c r="B82" s="105">
        <f t="shared" si="9"/>
        <v>5</v>
      </c>
      <c r="C82" s="55" t="s">
        <v>227</v>
      </c>
      <c r="D82" s="106">
        <f t="shared" si="10"/>
        <v>5</v>
      </c>
      <c r="E82" s="107">
        <f t="shared" si="11"/>
        <v>0</v>
      </c>
      <c r="F82" s="108">
        <f t="shared" si="12"/>
        <v>0.5</v>
      </c>
      <c r="G82" s="108">
        <f t="shared" si="13"/>
        <v>0</v>
      </c>
      <c r="H82" s="108">
        <f t="shared" si="14"/>
        <v>0</v>
      </c>
      <c r="I82" s="108">
        <f t="shared" si="15"/>
        <v>0</v>
      </c>
      <c r="J82" s="108">
        <f t="shared" si="16"/>
        <v>0</v>
      </c>
      <c r="K82" s="108">
        <f t="shared" si="17"/>
        <v>0.5</v>
      </c>
      <c r="L82" s="108">
        <f t="shared" si="18"/>
        <v>0.5</v>
      </c>
      <c r="M82" s="108">
        <f t="shared" si="19"/>
        <v>0</v>
      </c>
      <c r="N82" s="108">
        <f t="shared" si="20"/>
        <v>0</v>
      </c>
      <c r="O82" s="108">
        <f t="shared" si="21"/>
        <v>0.5</v>
      </c>
      <c r="P82" s="108">
        <f t="shared" si="22"/>
        <v>0.5</v>
      </c>
      <c r="Q82" s="108">
        <f t="shared" si="23"/>
        <v>0.5</v>
      </c>
      <c r="R82" s="108">
        <f t="shared" si="24"/>
        <v>0</v>
      </c>
      <c r="S82" s="108">
        <f t="shared" si="25"/>
        <v>0.5</v>
      </c>
      <c r="T82" s="108">
        <f t="shared" si="26"/>
        <v>0.5</v>
      </c>
      <c r="U82" s="108">
        <f t="shared" si="27"/>
        <v>0.5</v>
      </c>
      <c r="V82" s="108">
        <f t="shared" si="28"/>
        <v>0</v>
      </c>
      <c r="W82" s="108">
        <f t="shared" si="29"/>
        <v>0.5</v>
      </c>
      <c r="X82" s="108">
        <f t="shared" si="30"/>
        <v>0</v>
      </c>
    </row>
    <row r="83" ht="15.75" customHeight="1">
      <c r="A83" s="104">
        <v>22.0</v>
      </c>
      <c r="B83" s="105">
        <f t="shared" si="9"/>
        <v>7</v>
      </c>
      <c r="C83" s="55" t="s">
        <v>229</v>
      </c>
      <c r="D83" s="106">
        <f t="shared" si="10"/>
        <v>7</v>
      </c>
      <c r="E83" s="107">
        <f t="shared" si="11"/>
        <v>0</v>
      </c>
      <c r="F83" s="108">
        <f t="shared" si="12"/>
        <v>0.5</v>
      </c>
      <c r="G83" s="108">
        <f t="shared" si="13"/>
        <v>0</v>
      </c>
      <c r="H83" s="108">
        <f t="shared" si="14"/>
        <v>0.5</v>
      </c>
      <c r="I83" s="108">
        <f t="shared" si="15"/>
        <v>0</v>
      </c>
      <c r="J83" s="108">
        <f t="shared" si="16"/>
        <v>0.5</v>
      </c>
      <c r="K83" s="108">
        <f t="shared" si="17"/>
        <v>0.5</v>
      </c>
      <c r="L83" s="108">
        <f t="shared" si="18"/>
        <v>0.5</v>
      </c>
      <c r="M83" s="108">
        <f t="shared" si="19"/>
        <v>0</v>
      </c>
      <c r="N83" s="108">
        <f t="shared" si="20"/>
        <v>0.5</v>
      </c>
      <c r="O83" s="108">
        <f t="shared" si="21"/>
        <v>0.5</v>
      </c>
      <c r="P83" s="108">
        <f t="shared" si="22"/>
        <v>0.5</v>
      </c>
      <c r="Q83" s="108">
        <f t="shared" si="23"/>
        <v>0.5</v>
      </c>
      <c r="R83" s="108">
        <f t="shared" si="24"/>
        <v>0</v>
      </c>
      <c r="S83" s="108">
        <f t="shared" si="25"/>
        <v>0</v>
      </c>
      <c r="T83" s="108">
        <f t="shared" si="26"/>
        <v>0.5</v>
      </c>
      <c r="U83" s="108">
        <f t="shared" si="27"/>
        <v>0.5</v>
      </c>
      <c r="V83" s="108">
        <f t="shared" si="28"/>
        <v>0.5</v>
      </c>
      <c r="W83" s="108">
        <f t="shared" si="29"/>
        <v>0.5</v>
      </c>
      <c r="X83" s="108">
        <f t="shared" si="30"/>
        <v>0.5</v>
      </c>
    </row>
    <row r="84" ht="15.75" customHeight="1">
      <c r="A84" s="104">
        <v>23.0</v>
      </c>
      <c r="B84" s="105">
        <f t="shared" si="9"/>
        <v>4</v>
      </c>
      <c r="C84" s="55" t="s">
        <v>231</v>
      </c>
      <c r="D84" s="106">
        <f t="shared" si="10"/>
        <v>4</v>
      </c>
      <c r="E84" s="107">
        <f t="shared" si="11"/>
        <v>0</v>
      </c>
      <c r="F84" s="108">
        <f t="shared" si="12"/>
        <v>0.5</v>
      </c>
      <c r="G84" s="108">
        <f t="shared" si="13"/>
        <v>0</v>
      </c>
      <c r="H84" s="108">
        <f t="shared" si="14"/>
        <v>0.5</v>
      </c>
      <c r="I84" s="108">
        <f t="shared" si="15"/>
        <v>0</v>
      </c>
      <c r="J84" s="108">
        <f t="shared" si="16"/>
        <v>0</v>
      </c>
      <c r="K84" s="108">
        <f t="shared" si="17"/>
        <v>0.5</v>
      </c>
      <c r="L84" s="108">
        <f t="shared" si="18"/>
        <v>0</v>
      </c>
      <c r="M84" s="108">
        <f t="shared" si="19"/>
        <v>0</v>
      </c>
      <c r="N84" s="108">
        <f t="shared" si="20"/>
        <v>0</v>
      </c>
      <c r="O84" s="108">
        <f t="shared" si="21"/>
        <v>0</v>
      </c>
      <c r="P84" s="108">
        <f t="shared" si="22"/>
        <v>0.5</v>
      </c>
      <c r="Q84" s="108">
        <f t="shared" si="23"/>
        <v>0.5</v>
      </c>
      <c r="R84" s="108">
        <f t="shared" si="24"/>
        <v>0</v>
      </c>
      <c r="S84" s="108">
        <f t="shared" si="25"/>
        <v>0</v>
      </c>
      <c r="T84" s="108">
        <f t="shared" si="26"/>
        <v>0.5</v>
      </c>
      <c r="U84" s="108">
        <f t="shared" si="27"/>
        <v>0</v>
      </c>
      <c r="V84" s="108">
        <f t="shared" si="28"/>
        <v>0.5</v>
      </c>
      <c r="W84" s="108">
        <f t="shared" si="29"/>
        <v>0</v>
      </c>
      <c r="X84" s="108">
        <f t="shared" si="30"/>
        <v>0.5</v>
      </c>
    </row>
    <row r="85" ht="15.75" customHeight="1">
      <c r="A85" s="104">
        <v>24.0</v>
      </c>
      <c r="B85" s="105">
        <f t="shared" si="9"/>
        <v>5.5</v>
      </c>
      <c r="C85" s="55" t="s">
        <v>233</v>
      </c>
      <c r="D85" s="106">
        <f t="shared" si="10"/>
        <v>5.5</v>
      </c>
      <c r="E85" s="107">
        <f t="shared" si="11"/>
        <v>0</v>
      </c>
      <c r="F85" s="108">
        <f t="shared" si="12"/>
        <v>0.5</v>
      </c>
      <c r="G85" s="108">
        <f t="shared" si="13"/>
        <v>0.5</v>
      </c>
      <c r="H85" s="108">
        <f t="shared" si="14"/>
        <v>0.5</v>
      </c>
      <c r="I85" s="108">
        <f t="shared" si="15"/>
        <v>0</v>
      </c>
      <c r="J85" s="108">
        <f t="shared" si="16"/>
        <v>0</v>
      </c>
      <c r="K85" s="108">
        <f t="shared" si="17"/>
        <v>0.5</v>
      </c>
      <c r="L85" s="108">
        <f t="shared" si="18"/>
        <v>0</v>
      </c>
      <c r="M85" s="108">
        <f t="shared" si="19"/>
        <v>0.5</v>
      </c>
      <c r="N85" s="108">
        <f t="shared" si="20"/>
        <v>0.5</v>
      </c>
      <c r="O85" s="108">
        <f t="shared" si="21"/>
        <v>0.5</v>
      </c>
      <c r="P85" s="108">
        <f t="shared" si="22"/>
        <v>0.5</v>
      </c>
      <c r="Q85" s="108">
        <f t="shared" si="23"/>
        <v>0.5</v>
      </c>
      <c r="R85" s="108">
        <f t="shared" si="24"/>
        <v>0</v>
      </c>
      <c r="S85" s="108">
        <f t="shared" si="25"/>
        <v>0</v>
      </c>
      <c r="T85" s="108">
        <f t="shared" si="26"/>
        <v>0.5</v>
      </c>
      <c r="U85" s="108">
        <f t="shared" si="27"/>
        <v>0.5</v>
      </c>
      <c r="V85" s="108">
        <f t="shared" si="28"/>
        <v>0</v>
      </c>
      <c r="W85" s="108">
        <f t="shared" si="29"/>
        <v>0</v>
      </c>
      <c r="X85" s="108">
        <f t="shared" si="30"/>
        <v>0</v>
      </c>
    </row>
    <row r="86" ht="15.75" customHeight="1">
      <c r="A86" s="104">
        <v>25.0</v>
      </c>
      <c r="B86" s="105">
        <f t="shared" si="9"/>
        <v>3</v>
      </c>
      <c r="C86" s="55" t="s">
        <v>235</v>
      </c>
      <c r="D86" s="106">
        <f t="shared" si="10"/>
        <v>3</v>
      </c>
      <c r="E86" s="107">
        <f t="shared" si="11"/>
        <v>0</v>
      </c>
      <c r="F86" s="108">
        <f t="shared" si="12"/>
        <v>0</v>
      </c>
      <c r="G86" s="108">
        <f t="shared" si="13"/>
        <v>0</v>
      </c>
      <c r="H86" s="108">
        <f t="shared" si="14"/>
        <v>0</v>
      </c>
      <c r="I86" s="108">
        <f t="shared" si="15"/>
        <v>0</v>
      </c>
      <c r="J86" s="108">
        <f t="shared" si="16"/>
        <v>0.5</v>
      </c>
      <c r="K86" s="108">
        <f t="shared" si="17"/>
        <v>0</v>
      </c>
      <c r="L86" s="108">
        <f t="shared" si="18"/>
        <v>0</v>
      </c>
      <c r="M86" s="108">
        <f t="shared" si="19"/>
        <v>0</v>
      </c>
      <c r="N86" s="108">
        <f t="shared" si="20"/>
        <v>0.5</v>
      </c>
      <c r="O86" s="108">
        <f t="shared" si="21"/>
        <v>0.5</v>
      </c>
      <c r="P86" s="108">
        <f t="shared" si="22"/>
        <v>0.5</v>
      </c>
      <c r="Q86" s="108">
        <f t="shared" si="23"/>
        <v>0</v>
      </c>
      <c r="R86" s="108">
        <f t="shared" si="24"/>
        <v>0</v>
      </c>
      <c r="S86" s="108">
        <f t="shared" si="25"/>
        <v>0</v>
      </c>
      <c r="T86" s="108">
        <f t="shared" si="26"/>
        <v>0.5</v>
      </c>
      <c r="U86" s="108">
        <f t="shared" si="27"/>
        <v>0.5</v>
      </c>
      <c r="V86" s="108">
        <f t="shared" si="28"/>
        <v>0</v>
      </c>
      <c r="W86" s="108">
        <f t="shared" si="29"/>
        <v>0</v>
      </c>
      <c r="X86" s="108">
        <f t="shared" si="30"/>
        <v>0</v>
      </c>
    </row>
    <row r="87" ht="15.75" customHeight="1">
      <c r="A87" s="104">
        <v>26.0</v>
      </c>
      <c r="B87" s="105">
        <f t="shared" si="9"/>
        <v>5.5</v>
      </c>
      <c r="C87" s="55" t="s">
        <v>237</v>
      </c>
      <c r="D87" s="106">
        <f t="shared" si="10"/>
        <v>5.5</v>
      </c>
      <c r="E87" s="107">
        <f t="shared" si="11"/>
        <v>0</v>
      </c>
      <c r="F87" s="108">
        <f t="shared" si="12"/>
        <v>0.5</v>
      </c>
      <c r="G87" s="108">
        <f t="shared" si="13"/>
        <v>0</v>
      </c>
      <c r="H87" s="108">
        <f t="shared" si="14"/>
        <v>0.5</v>
      </c>
      <c r="I87" s="108">
        <f t="shared" si="15"/>
        <v>0</v>
      </c>
      <c r="J87" s="108">
        <f t="shared" si="16"/>
        <v>0.5</v>
      </c>
      <c r="K87" s="108">
        <f t="shared" si="17"/>
        <v>0</v>
      </c>
      <c r="L87" s="108">
        <f t="shared" si="18"/>
        <v>0.5</v>
      </c>
      <c r="M87" s="108">
        <f t="shared" si="19"/>
        <v>0.5</v>
      </c>
      <c r="N87" s="108">
        <f t="shared" si="20"/>
        <v>0.5</v>
      </c>
      <c r="O87" s="108">
        <f t="shared" si="21"/>
        <v>0</v>
      </c>
      <c r="P87" s="108">
        <f t="shared" si="22"/>
        <v>0.5</v>
      </c>
      <c r="Q87" s="108">
        <f t="shared" si="23"/>
        <v>0</v>
      </c>
      <c r="R87" s="108">
        <f t="shared" si="24"/>
        <v>0</v>
      </c>
      <c r="S87" s="108">
        <f t="shared" si="25"/>
        <v>0.5</v>
      </c>
      <c r="T87" s="108">
        <f t="shared" si="26"/>
        <v>0.5</v>
      </c>
      <c r="U87" s="108">
        <f t="shared" si="27"/>
        <v>0.5</v>
      </c>
      <c r="V87" s="108">
        <f t="shared" si="28"/>
        <v>0.5</v>
      </c>
      <c r="W87" s="108">
        <f t="shared" si="29"/>
        <v>0</v>
      </c>
      <c r="X87" s="108">
        <f t="shared" si="30"/>
        <v>0</v>
      </c>
    </row>
    <row r="88" ht="15.75" customHeight="1">
      <c r="A88" s="104">
        <v>27.0</v>
      </c>
      <c r="B88" s="105">
        <f t="shared" si="9"/>
        <v>0</v>
      </c>
      <c r="C88" s="55" t="s">
        <v>239</v>
      </c>
      <c r="D88" s="106">
        <f t="shared" si="10"/>
        <v>0</v>
      </c>
      <c r="E88" s="107">
        <f t="shared" si="11"/>
        <v>0</v>
      </c>
      <c r="F88" s="108">
        <f t="shared" si="12"/>
        <v>0</v>
      </c>
      <c r="G88" s="108">
        <f t="shared" si="13"/>
        <v>0</v>
      </c>
      <c r="H88" s="108">
        <f t="shared" si="14"/>
        <v>0</v>
      </c>
      <c r="I88" s="108">
        <f t="shared" si="15"/>
        <v>0</v>
      </c>
      <c r="J88" s="108">
        <f t="shared" si="16"/>
        <v>0</v>
      </c>
      <c r="K88" s="108">
        <f t="shared" si="17"/>
        <v>0</v>
      </c>
      <c r="L88" s="108">
        <f t="shared" si="18"/>
        <v>0</v>
      </c>
      <c r="M88" s="108">
        <f t="shared" si="19"/>
        <v>0</v>
      </c>
      <c r="N88" s="108">
        <f t="shared" si="20"/>
        <v>0</v>
      </c>
      <c r="O88" s="108">
        <f t="shared" si="21"/>
        <v>0</v>
      </c>
      <c r="P88" s="108">
        <f t="shared" si="22"/>
        <v>0</v>
      </c>
      <c r="Q88" s="108">
        <f t="shared" si="23"/>
        <v>0</v>
      </c>
      <c r="R88" s="108">
        <f t="shared" si="24"/>
        <v>0</v>
      </c>
      <c r="S88" s="108">
        <f t="shared" si="25"/>
        <v>0</v>
      </c>
      <c r="T88" s="108">
        <f t="shared" si="26"/>
        <v>0</v>
      </c>
      <c r="U88" s="108">
        <f t="shared" si="27"/>
        <v>0</v>
      </c>
      <c r="V88" s="108">
        <f t="shared" si="28"/>
        <v>0</v>
      </c>
      <c r="W88" s="108">
        <f t="shared" si="29"/>
        <v>0</v>
      </c>
      <c r="X88" s="108">
        <f t="shared" si="30"/>
        <v>0</v>
      </c>
    </row>
    <row r="89" ht="15.75" customHeight="1">
      <c r="A89" s="104">
        <v>28.0</v>
      </c>
      <c r="B89" s="105">
        <f t="shared" si="9"/>
        <v>5</v>
      </c>
      <c r="C89" s="55" t="s">
        <v>241</v>
      </c>
      <c r="D89" s="106">
        <f t="shared" si="10"/>
        <v>5</v>
      </c>
      <c r="E89" s="107">
        <f t="shared" si="11"/>
        <v>0</v>
      </c>
      <c r="F89" s="108">
        <f t="shared" si="12"/>
        <v>0.5</v>
      </c>
      <c r="G89" s="108">
        <f t="shared" si="13"/>
        <v>0.5</v>
      </c>
      <c r="H89" s="108">
        <f t="shared" si="14"/>
        <v>0.5</v>
      </c>
      <c r="I89" s="108">
        <f t="shared" si="15"/>
        <v>0</v>
      </c>
      <c r="J89" s="108">
        <f t="shared" si="16"/>
        <v>0</v>
      </c>
      <c r="K89" s="108">
        <f t="shared" si="17"/>
        <v>0.5</v>
      </c>
      <c r="L89" s="108">
        <f t="shared" si="18"/>
        <v>0</v>
      </c>
      <c r="M89" s="108">
        <f t="shared" si="19"/>
        <v>0</v>
      </c>
      <c r="N89" s="108">
        <f t="shared" si="20"/>
        <v>0</v>
      </c>
      <c r="O89" s="108">
        <f t="shared" si="21"/>
        <v>0.5</v>
      </c>
      <c r="P89" s="108">
        <f t="shared" si="22"/>
        <v>0.5</v>
      </c>
      <c r="Q89" s="108">
        <f t="shared" si="23"/>
        <v>0.5</v>
      </c>
      <c r="R89" s="108">
        <f t="shared" si="24"/>
        <v>0</v>
      </c>
      <c r="S89" s="108">
        <f t="shared" si="25"/>
        <v>0.5</v>
      </c>
      <c r="T89" s="108">
        <f t="shared" si="26"/>
        <v>0.5</v>
      </c>
      <c r="U89" s="108">
        <f t="shared" si="27"/>
        <v>0.5</v>
      </c>
      <c r="V89" s="108">
        <f t="shared" si="28"/>
        <v>0</v>
      </c>
      <c r="W89" s="108">
        <f t="shared" si="29"/>
        <v>0</v>
      </c>
      <c r="X89" s="108">
        <f t="shared" si="30"/>
        <v>0</v>
      </c>
    </row>
    <row r="90" ht="15.75" customHeight="1">
      <c r="A90" s="104">
        <v>29.0</v>
      </c>
      <c r="B90" s="105">
        <f t="shared" si="9"/>
        <v>3.5</v>
      </c>
      <c r="C90" s="55" t="s">
        <v>243</v>
      </c>
      <c r="D90" s="106">
        <f t="shared" si="10"/>
        <v>3.5</v>
      </c>
      <c r="E90" s="107">
        <f t="shared" si="11"/>
        <v>0</v>
      </c>
      <c r="F90" s="108">
        <f t="shared" si="12"/>
        <v>0.5</v>
      </c>
      <c r="G90" s="108">
        <f t="shared" si="13"/>
        <v>0</v>
      </c>
      <c r="H90" s="108">
        <f t="shared" si="14"/>
        <v>0.5</v>
      </c>
      <c r="I90" s="108">
        <f t="shared" si="15"/>
        <v>0</v>
      </c>
      <c r="J90" s="108">
        <f t="shared" si="16"/>
        <v>0</v>
      </c>
      <c r="K90" s="108">
        <f t="shared" si="17"/>
        <v>0.5</v>
      </c>
      <c r="L90" s="108">
        <f t="shared" si="18"/>
        <v>0</v>
      </c>
      <c r="M90" s="108">
        <f t="shared" si="19"/>
        <v>0</v>
      </c>
      <c r="N90" s="108">
        <f t="shared" si="20"/>
        <v>0</v>
      </c>
      <c r="O90" s="108">
        <f t="shared" si="21"/>
        <v>0.5</v>
      </c>
      <c r="P90" s="108">
        <f t="shared" si="22"/>
        <v>0.5</v>
      </c>
      <c r="Q90" s="108">
        <f t="shared" si="23"/>
        <v>0</v>
      </c>
      <c r="R90" s="108">
        <f t="shared" si="24"/>
        <v>0</v>
      </c>
      <c r="S90" s="108">
        <f t="shared" si="25"/>
        <v>0</v>
      </c>
      <c r="T90" s="108">
        <f t="shared" si="26"/>
        <v>0.5</v>
      </c>
      <c r="U90" s="108">
        <f t="shared" si="27"/>
        <v>0.5</v>
      </c>
      <c r="V90" s="108">
        <f t="shared" si="28"/>
        <v>0</v>
      </c>
      <c r="W90" s="108">
        <f t="shared" si="29"/>
        <v>0</v>
      </c>
      <c r="X90" s="108">
        <f t="shared" si="30"/>
        <v>0</v>
      </c>
    </row>
    <row r="91" ht="15.75" customHeight="1">
      <c r="A91" s="104">
        <v>30.0</v>
      </c>
      <c r="B91" s="105">
        <f t="shared" si="9"/>
        <v>5</v>
      </c>
      <c r="C91" s="55" t="s">
        <v>245</v>
      </c>
      <c r="D91" s="106">
        <f t="shared" si="10"/>
        <v>5</v>
      </c>
      <c r="E91" s="107">
        <f t="shared" si="11"/>
        <v>0</v>
      </c>
      <c r="F91" s="108">
        <f t="shared" si="12"/>
        <v>0.5</v>
      </c>
      <c r="G91" s="108">
        <f t="shared" si="13"/>
        <v>0</v>
      </c>
      <c r="H91" s="108">
        <f t="shared" si="14"/>
        <v>0.5</v>
      </c>
      <c r="I91" s="108">
        <f t="shared" si="15"/>
        <v>0.5</v>
      </c>
      <c r="J91" s="108">
        <f t="shared" si="16"/>
        <v>0</v>
      </c>
      <c r="K91" s="108">
        <f t="shared" si="17"/>
        <v>0.5</v>
      </c>
      <c r="L91" s="108">
        <f t="shared" si="18"/>
        <v>0.5</v>
      </c>
      <c r="M91" s="108">
        <f t="shared" si="19"/>
        <v>0</v>
      </c>
      <c r="N91" s="108">
        <f t="shared" si="20"/>
        <v>0.5</v>
      </c>
      <c r="O91" s="108">
        <f t="shared" si="21"/>
        <v>0</v>
      </c>
      <c r="P91" s="108">
        <f t="shared" si="22"/>
        <v>0.5</v>
      </c>
      <c r="Q91" s="108">
        <f t="shared" si="23"/>
        <v>0.5</v>
      </c>
      <c r="R91" s="108">
        <f t="shared" si="24"/>
        <v>0</v>
      </c>
      <c r="S91" s="108">
        <f t="shared" si="25"/>
        <v>0</v>
      </c>
      <c r="T91" s="108">
        <f t="shared" si="26"/>
        <v>0.5</v>
      </c>
      <c r="U91" s="108">
        <f t="shared" si="27"/>
        <v>0.5</v>
      </c>
      <c r="V91" s="108">
        <f t="shared" si="28"/>
        <v>0</v>
      </c>
      <c r="W91" s="108">
        <f t="shared" si="29"/>
        <v>0</v>
      </c>
      <c r="X91" s="108">
        <f t="shared" si="30"/>
        <v>0</v>
      </c>
    </row>
    <row r="92" ht="15.75" customHeight="1">
      <c r="A92" s="104">
        <v>31.0</v>
      </c>
      <c r="B92" s="105">
        <f t="shared" si="9"/>
        <v>5.5</v>
      </c>
      <c r="C92" s="55" t="s">
        <v>247</v>
      </c>
      <c r="D92" s="106">
        <f t="shared" si="10"/>
        <v>5.5</v>
      </c>
      <c r="E92" s="107">
        <f t="shared" si="11"/>
        <v>0.5</v>
      </c>
      <c r="F92" s="108">
        <f t="shared" si="12"/>
        <v>0.5</v>
      </c>
      <c r="G92" s="108">
        <f t="shared" si="13"/>
        <v>0</v>
      </c>
      <c r="H92" s="108">
        <f t="shared" si="14"/>
        <v>0.5</v>
      </c>
      <c r="I92" s="108">
        <f t="shared" si="15"/>
        <v>0</v>
      </c>
      <c r="J92" s="108">
        <f t="shared" si="16"/>
        <v>0</v>
      </c>
      <c r="K92" s="108">
        <f t="shared" si="17"/>
        <v>0</v>
      </c>
      <c r="L92" s="108">
        <f t="shared" si="18"/>
        <v>0</v>
      </c>
      <c r="M92" s="108">
        <f t="shared" si="19"/>
        <v>0</v>
      </c>
      <c r="N92" s="108">
        <f t="shared" si="20"/>
        <v>0.5</v>
      </c>
      <c r="O92" s="108">
        <f t="shared" si="21"/>
        <v>0.5</v>
      </c>
      <c r="P92" s="108">
        <f t="shared" si="22"/>
        <v>0.5</v>
      </c>
      <c r="Q92" s="108">
        <f t="shared" si="23"/>
        <v>0.5</v>
      </c>
      <c r="R92" s="108">
        <f t="shared" si="24"/>
        <v>0</v>
      </c>
      <c r="S92" s="108">
        <f t="shared" si="25"/>
        <v>0.5</v>
      </c>
      <c r="T92" s="108">
        <f t="shared" si="26"/>
        <v>0.5</v>
      </c>
      <c r="U92" s="108">
        <f t="shared" si="27"/>
        <v>0.5</v>
      </c>
      <c r="V92" s="108">
        <f t="shared" si="28"/>
        <v>0.5</v>
      </c>
      <c r="W92" s="108">
        <f t="shared" si="29"/>
        <v>0</v>
      </c>
      <c r="X92" s="108">
        <f t="shared" si="30"/>
        <v>0</v>
      </c>
    </row>
    <row r="93" ht="15.75" customHeight="1">
      <c r="A93" s="109">
        <v>32.0</v>
      </c>
      <c r="B93" s="105">
        <f t="shared" si="9"/>
        <v>2.5</v>
      </c>
      <c r="C93" s="57" t="s">
        <v>249</v>
      </c>
      <c r="D93" s="106">
        <f t="shared" si="10"/>
        <v>2.5</v>
      </c>
      <c r="E93" s="107">
        <f t="shared" si="11"/>
        <v>0</v>
      </c>
      <c r="F93" s="108">
        <f t="shared" si="12"/>
        <v>0</v>
      </c>
      <c r="G93" s="108">
        <f t="shared" si="13"/>
        <v>0</v>
      </c>
      <c r="H93" s="108">
        <f t="shared" si="14"/>
        <v>0.5</v>
      </c>
      <c r="I93" s="108">
        <f t="shared" si="15"/>
        <v>0</v>
      </c>
      <c r="J93" s="108">
        <f t="shared" si="16"/>
        <v>0</v>
      </c>
      <c r="K93" s="108">
        <f t="shared" si="17"/>
        <v>0</v>
      </c>
      <c r="L93" s="108">
        <f t="shared" si="18"/>
        <v>0</v>
      </c>
      <c r="M93" s="108">
        <f t="shared" si="19"/>
        <v>0</v>
      </c>
      <c r="N93" s="108">
        <f t="shared" si="20"/>
        <v>0</v>
      </c>
      <c r="O93" s="108">
        <f t="shared" si="21"/>
        <v>0</v>
      </c>
      <c r="P93" s="108">
        <f t="shared" si="22"/>
        <v>0.5</v>
      </c>
      <c r="Q93" s="108">
        <f t="shared" si="23"/>
        <v>0.5</v>
      </c>
      <c r="R93" s="108">
        <f t="shared" si="24"/>
        <v>0</v>
      </c>
      <c r="S93" s="108">
        <f t="shared" si="25"/>
        <v>0.5</v>
      </c>
      <c r="T93" s="108">
        <f t="shared" si="26"/>
        <v>0.5</v>
      </c>
      <c r="U93" s="108">
        <f t="shared" si="27"/>
        <v>0</v>
      </c>
      <c r="V93" s="108">
        <f t="shared" si="28"/>
        <v>0</v>
      </c>
      <c r="W93" s="108">
        <f t="shared" si="29"/>
        <v>0</v>
      </c>
      <c r="X93" s="108">
        <f t="shared" si="30"/>
        <v>0</v>
      </c>
    </row>
    <row r="94" ht="15.75" customHeight="1">
      <c r="A94" s="109">
        <v>33.0</v>
      </c>
      <c r="B94" s="105">
        <f t="shared" si="9"/>
        <v>4.5</v>
      </c>
      <c r="C94" s="55" t="s">
        <v>251</v>
      </c>
      <c r="D94" s="106">
        <f t="shared" si="10"/>
        <v>4.5</v>
      </c>
      <c r="E94" s="107">
        <f t="shared" si="11"/>
        <v>0</v>
      </c>
      <c r="F94" s="108">
        <f t="shared" si="12"/>
        <v>0.5</v>
      </c>
      <c r="G94" s="108">
        <f t="shared" si="13"/>
        <v>0</v>
      </c>
      <c r="H94" s="108">
        <f t="shared" si="14"/>
        <v>0.5</v>
      </c>
      <c r="I94" s="108">
        <f t="shared" si="15"/>
        <v>0</v>
      </c>
      <c r="J94" s="108">
        <f t="shared" si="16"/>
        <v>0.5</v>
      </c>
      <c r="K94" s="108">
        <f t="shared" si="17"/>
        <v>0</v>
      </c>
      <c r="L94" s="108">
        <f t="shared" si="18"/>
        <v>0</v>
      </c>
      <c r="M94" s="108">
        <f t="shared" si="19"/>
        <v>0</v>
      </c>
      <c r="N94" s="108">
        <f t="shared" si="20"/>
        <v>0</v>
      </c>
      <c r="O94" s="108">
        <f t="shared" si="21"/>
        <v>0.5</v>
      </c>
      <c r="P94" s="108">
        <f t="shared" si="22"/>
        <v>0.5</v>
      </c>
      <c r="Q94" s="108">
        <f t="shared" si="23"/>
        <v>0</v>
      </c>
      <c r="R94" s="108">
        <f t="shared" si="24"/>
        <v>0</v>
      </c>
      <c r="S94" s="108">
        <f t="shared" si="25"/>
        <v>0.5</v>
      </c>
      <c r="T94" s="108">
        <f t="shared" si="26"/>
        <v>0.5</v>
      </c>
      <c r="U94" s="108">
        <f t="shared" si="27"/>
        <v>0.5</v>
      </c>
      <c r="V94" s="108">
        <f t="shared" si="28"/>
        <v>0</v>
      </c>
      <c r="W94" s="108">
        <f t="shared" si="29"/>
        <v>0.5</v>
      </c>
      <c r="X94" s="108">
        <f t="shared" si="30"/>
        <v>0</v>
      </c>
    </row>
    <row r="95" ht="15.75" customHeight="1">
      <c r="A95" s="109">
        <v>34.0</v>
      </c>
      <c r="B95" s="105">
        <f t="shared" si="9"/>
        <v>5.5</v>
      </c>
      <c r="C95" s="55" t="s">
        <v>253</v>
      </c>
      <c r="D95" s="106">
        <f t="shared" si="10"/>
        <v>5.5</v>
      </c>
      <c r="E95" s="107">
        <f t="shared" si="11"/>
        <v>0</v>
      </c>
      <c r="F95" s="108">
        <f t="shared" si="12"/>
        <v>0</v>
      </c>
      <c r="G95" s="108">
        <f t="shared" si="13"/>
        <v>0</v>
      </c>
      <c r="H95" s="108">
        <f t="shared" si="14"/>
        <v>0.5</v>
      </c>
      <c r="I95" s="108">
        <f t="shared" si="15"/>
        <v>0.5</v>
      </c>
      <c r="J95" s="108">
        <f t="shared" si="16"/>
        <v>0</v>
      </c>
      <c r="K95" s="108">
        <f t="shared" si="17"/>
        <v>0</v>
      </c>
      <c r="L95" s="108">
        <f t="shared" si="18"/>
        <v>0.5</v>
      </c>
      <c r="M95" s="108">
        <f t="shared" si="19"/>
        <v>0.5</v>
      </c>
      <c r="N95" s="108">
        <f t="shared" si="20"/>
        <v>0</v>
      </c>
      <c r="O95" s="108">
        <f t="shared" si="21"/>
        <v>0.5</v>
      </c>
      <c r="P95" s="108">
        <f t="shared" si="22"/>
        <v>0.5</v>
      </c>
      <c r="Q95" s="108">
        <f t="shared" si="23"/>
        <v>0.5</v>
      </c>
      <c r="R95" s="108">
        <f t="shared" si="24"/>
        <v>0</v>
      </c>
      <c r="S95" s="108">
        <f t="shared" si="25"/>
        <v>0.5</v>
      </c>
      <c r="T95" s="108">
        <f t="shared" si="26"/>
        <v>0.5</v>
      </c>
      <c r="U95" s="108">
        <f t="shared" si="27"/>
        <v>0.5</v>
      </c>
      <c r="V95" s="108">
        <f t="shared" si="28"/>
        <v>0.5</v>
      </c>
      <c r="W95" s="108">
        <f t="shared" si="29"/>
        <v>0</v>
      </c>
      <c r="X95" s="108">
        <f t="shared" si="30"/>
        <v>0</v>
      </c>
    </row>
    <row r="96" ht="15.75" customHeight="1">
      <c r="A96" s="109">
        <v>35.0</v>
      </c>
      <c r="B96" s="105">
        <f t="shared" si="9"/>
        <v>3.5</v>
      </c>
      <c r="C96" s="55" t="s">
        <v>255</v>
      </c>
      <c r="D96" s="106">
        <f t="shared" si="10"/>
        <v>3.5</v>
      </c>
      <c r="E96" s="107">
        <f t="shared" si="11"/>
        <v>0</v>
      </c>
      <c r="F96" s="108">
        <f t="shared" si="12"/>
        <v>0.5</v>
      </c>
      <c r="G96" s="108">
        <f t="shared" si="13"/>
        <v>0</v>
      </c>
      <c r="H96" s="108">
        <f t="shared" si="14"/>
        <v>0.5</v>
      </c>
      <c r="I96" s="108">
        <f t="shared" si="15"/>
        <v>0.5</v>
      </c>
      <c r="J96" s="108">
        <f t="shared" si="16"/>
        <v>0</v>
      </c>
      <c r="K96" s="108">
        <f t="shared" si="17"/>
        <v>0</v>
      </c>
      <c r="L96" s="108">
        <f t="shared" si="18"/>
        <v>0.5</v>
      </c>
      <c r="M96" s="108">
        <f t="shared" si="19"/>
        <v>0</v>
      </c>
      <c r="N96" s="108">
        <f t="shared" si="20"/>
        <v>0</v>
      </c>
      <c r="O96" s="108">
        <f t="shared" si="21"/>
        <v>0</v>
      </c>
      <c r="P96" s="108">
        <f t="shared" si="22"/>
        <v>0.5</v>
      </c>
      <c r="Q96" s="108">
        <f t="shared" si="23"/>
        <v>0.5</v>
      </c>
      <c r="R96" s="108">
        <f t="shared" si="24"/>
        <v>0</v>
      </c>
      <c r="S96" s="108">
        <f t="shared" si="25"/>
        <v>0</v>
      </c>
      <c r="T96" s="108">
        <f t="shared" si="26"/>
        <v>0.5</v>
      </c>
      <c r="U96" s="108">
        <f t="shared" si="27"/>
        <v>0</v>
      </c>
      <c r="V96" s="108">
        <f t="shared" si="28"/>
        <v>0</v>
      </c>
      <c r="W96" s="108">
        <f t="shared" si="29"/>
        <v>0</v>
      </c>
      <c r="X96" s="108">
        <f t="shared" si="30"/>
        <v>0</v>
      </c>
    </row>
    <row r="97" ht="15.75" customHeight="1">
      <c r="A97" s="110">
        <v>36.0</v>
      </c>
      <c r="B97" s="111">
        <f t="shared" si="9"/>
        <v>4</v>
      </c>
      <c r="C97" s="63" t="s">
        <v>257</v>
      </c>
      <c r="D97" s="112">
        <f t="shared" si="10"/>
        <v>4</v>
      </c>
      <c r="E97" s="113">
        <f t="shared" si="11"/>
        <v>0</v>
      </c>
      <c r="F97" s="114">
        <f t="shared" si="12"/>
        <v>0.5</v>
      </c>
      <c r="G97" s="114">
        <f t="shared" si="13"/>
        <v>0</v>
      </c>
      <c r="H97" s="114">
        <f t="shared" si="14"/>
        <v>0.5</v>
      </c>
      <c r="I97" s="114">
        <f t="shared" si="15"/>
        <v>0</v>
      </c>
      <c r="J97" s="114">
        <f t="shared" si="16"/>
        <v>0</v>
      </c>
      <c r="K97" s="114">
        <f t="shared" si="17"/>
        <v>0</v>
      </c>
      <c r="L97" s="114">
        <f t="shared" si="18"/>
        <v>0.5</v>
      </c>
      <c r="M97" s="114">
        <f t="shared" si="19"/>
        <v>0</v>
      </c>
      <c r="N97" s="114">
        <f t="shared" si="20"/>
        <v>0</v>
      </c>
      <c r="O97" s="114">
        <f t="shared" si="21"/>
        <v>0</v>
      </c>
      <c r="P97" s="114">
        <f t="shared" si="22"/>
        <v>0.5</v>
      </c>
      <c r="Q97" s="114">
        <f t="shared" si="23"/>
        <v>0</v>
      </c>
      <c r="R97" s="114">
        <f t="shared" si="24"/>
        <v>0</v>
      </c>
      <c r="S97" s="114">
        <f t="shared" si="25"/>
        <v>0</v>
      </c>
      <c r="T97" s="114">
        <f t="shared" si="26"/>
        <v>0.5</v>
      </c>
      <c r="U97" s="114">
        <f t="shared" si="27"/>
        <v>0.5</v>
      </c>
      <c r="V97" s="114">
        <f t="shared" si="28"/>
        <v>0.5</v>
      </c>
      <c r="W97" s="114">
        <f t="shared" si="29"/>
        <v>0.5</v>
      </c>
      <c r="X97" s="114">
        <f t="shared" si="30"/>
        <v>0</v>
      </c>
    </row>
    <row r="98" ht="15.75" customHeight="1">
      <c r="A98" s="74"/>
      <c r="B98" s="115">
        <f>SUM(B62:B97)/35</f>
        <v>4.671428571</v>
      </c>
    </row>
    <row r="99" ht="15.75" customHeight="1">
      <c r="A99" s="74"/>
      <c r="B99" s="75"/>
    </row>
    <row r="100" ht="15.75" customHeight="1">
      <c r="A100" s="74"/>
      <c r="B100" s="75"/>
    </row>
    <row r="101" ht="15.75" customHeight="1">
      <c r="A101" s="74"/>
      <c r="B101" s="75"/>
    </row>
    <row r="102" ht="15.75" customHeight="1">
      <c r="A102" s="74"/>
      <c r="B102" s="75"/>
    </row>
    <row r="103" ht="15.75" customHeight="1">
      <c r="A103" s="74"/>
      <c r="B103" s="75"/>
    </row>
    <row r="104" ht="15.75" customHeight="1">
      <c r="A104" s="74"/>
      <c r="B104" s="75"/>
    </row>
    <row r="105" ht="15.75" customHeight="1">
      <c r="A105" s="74"/>
      <c r="B105" s="75"/>
    </row>
    <row r="106" ht="15.75" customHeight="1">
      <c r="A106" s="74"/>
      <c r="B106" s="75"/>
    </row>
    <row r="107" ht="15.75" customHeight="1">
      <c r="A107" s="74"/>
      <c r="B107" s="75"/>
    </row>
    <row r="108" ht="15.75" customHeight="1">
      <c r="A108" s="74"/>
      <c r="B108" s="75"/>
    </row>
    <row r="109" ht="15.75" customHeight="1">
      <c r="A109" s="74"/>
      <c r="B109" s="75"/>
    </row>
    <row r="110" ht="15.75" customHeight="1">
      <c r="A110" s="74"/>
      <c r="B110" s="75"/>
    </row>
    <row r="111" ht="15.75" customHeight="1">
      <c r="A111" s="74"/>
      <c r="B111" s="75"/>
    </row>
    <row r="112" ht="15.75" customHeight="1">
      <c r="A112" s="74"/>
      <c r="B112" s="75"/>
    </row>
    <row r="113" ht="15.75" customHeight="1">
      <c r="A113" s="74"/>
      <c r="B113" s="75"/>
    </row>
    <row r="114" ht="15.75" customHeight="1">
      <c r="A114" s="74"/>
      <c r="B114" s="75"/>
    </row>
    <row r="115" ht="15.75" customHeight="1">
      <c r="A115" s="74"/>
      <c r="B115" s="75"/>
    </row>
    <row r="116" ht="15.75" customHeight="1">
      <c r="A116" s="74"/>
      <c r="B116" s="75"/>
    </row>
    <row r="117" ht="15.75" customHeight="1">
      <c r="A117" s="74"/>
      <c r="B117" s="75"/>
    </row>
    <row r="118" ht="15.75" customHeight="1">
      <c r="A118" s="74"/>
      <c r="B118" s="75"/>
    </row>
    <row r="119" ht="15.75" customHeight="1">
      <c r="A119" s="74"/>
      <c r="B119" s="75"/>
    </row>
    <row r="120" ht="15.75" customHeight="1">
      <c r="A120" s="74"/>
      <c r="B120" s="75"/>
    </row>
    <row r="121" ht="15.75" customHeight="1">
      <c r="A121" s="74"/>
      <c r="B121" s="75"/>
    </row>
    <row r="122" ht="15.75" customHeight="1">
      <c r="A122" s="74"/>
      <c r="B122" s="75"/>
    </row>
    <row r="123" ht="15.75" customHeight="1">
      <c r="A123" s="74"/>
      <c r="B123" s="75"/>
    </row>
    <row r="124" ht="15.75" customHeight="1">
      <c r="A124" s="74"/>
      <c r="B124" s="75"/>
    </row>
    <row r="125" ht="15.75" customHeight="1">
      <c r="A125" s="74"/>
      <c r="B125" s="75"/>
    </row>
    <row r="126" ht="15.75" customHeight="1">
      <c r="A126" s="74"/>
      <c r="B126" s="75"/>
    </row>
    <row r="127" ht="15.75" customHeight="1">
      <c r="A127" s="74"/>
      <c r="B127" s="75"/>
    </row>
    <row r="128" ht="15.75" customHeight="1">
      <c r="A128" s="74"/>
      <c r="B128" s="75"/>
    </row>
    <row r="129" ht="15.75" customHeight="1">
      <c r="A129" s="74"/>
      <c r="B129" s="75"/>
    </row>
    <row r="130" ht="15.75" customHeight="1">
      <c r="A130" s="74"/>
      <c r="B130" s="75"/>
    </row>
    <row r="131" ht="15.75" customHeight="1">
      <c r="A131" s="74"/>
      <c r="B131" s="75"/>
    </row>
    <row r="132" ht="15.75" customHeight="1">
      <c r="A132" s="74"/>
      <c r="B132" s="75"/>
    </row>
    <row r="133" ht="15.75" customHeight="1">
      <c r="A133" s="74"/>
      <c r="B133" s="75"/>
    </row>
    <row r="134" ht="15.75" customHeight="1">
      <c r="A134" s="74"/>
      <c r="B134" s="75"/>
    </row>
    <row r="135" ht="15.75" customHeight="1">
      <c r="A135" s="74"/>
      <c r="B135" s="75"/>
    </row>
    <row r="136" ht="15.75" customHeight="1">
      <c r="A136" s="74"/>
      <c r="B136" s="75"/>
    </row>
    <row r="137" ht="15.75" customHeight="1">
      <c r="A137" s="74"/>
      <c r="B137" s="75"/>
    </row>
    <row r="138" ht="15.75" customHeight="1">
      <c r="A138" s="74"/>
      <c r="B138" s="75"/>
    </row>
    <row r="139" ht="15.75" customHeight="1">
      <c r="A139" s="74"/>
      <c r="B139" s="75"/>
    </row>
    <row r="140" ht="15.75" customHeight="1">
      <c r="A140" s="74"/>
      <c r="B140" s="75"/>
    </row>
    <row r="141" ht="15.75" customHeight="1">
      <c r="A141" s="74"/>
      <c r="B141" s="75"/>
    </row>
    <row r="142" ht="15.75" customHeight="1">
      <c r="A142" s="74"/>
      <c r="B142" s="75"/>
    </row>
    <row r="143" ht="15.75" customHeight="1">
      <c r="A143" s="74"/>
      <c r="B143" s="75"/>
    </row>
    <row r="144" ht="15.75" customHeight="1">
      <c r="A144" s="74"/>
      <c r="B144" s="75"/>
    </row>
    <row r="145" ht="15.75" customHeight="1">
      <c r="A145" s="74"/>
      <c r="B145" s="75"/>
    </row>
    <row r="146" ht="15.75" customHeight="1">
      <c r="A146" s="74"/>
      <c r="B146" s="75"/>
    </row>
    <row r="147" ht="15.75" customHeight="1">
      <c r="A147" s="74"/>
      <c r="B147" s="75"/>
    </row>
    <row r="148" ht="15.75" customHeight="1">
      <c r="A148" s="74"/>
      <c r="B148" s="75"/>
    </row>
    <row r="149" ht="15.75" customHeight="1">
      <c r="A149" s="74"/>
      <c r="B149" s="75"/>
    </row>
    <row r="150" ht="15.75" customHeight="1">
      <c r="A150" s="74"/>
      <c r="B150" s="75"/>
    </row>
    <row r="151" ht="15.75" customHeight="1">
      <c r="A151" s="74"/>
      <c r="B151" s="75"/>
    </row>
    <row r="152" ht="15.75" customHeight="1">
      <c r="A152" s="74"/>
      <c r="B152" s="75"/>
    </row>
    <row r="153" ht="15.75" customHeight="1">
      <c r="A153" s="74"/>
      <c r="B153" s="75"/>
    </row>
    <row r="154" ht="15.75" customHeight="1">
      <c r="A154" s="74"/>
      <c r="B154" s="75"/>
    </row>
    <row r="155" ht="15.75" customHeight="1">
      <c r="A155" s="74"/>
      <c r="B155" s="75"/>
    </row>
    <row r="156" ht="15.75" customHeight="1">
      <c r="A156" s="74"/>
      <c r="B156" s="75"/>
    </row>
    <row r="157" ht="15.75" customHeight="1">
      <c r="A157" s="74"/>
      <c r="B157" s="75"/>
    </row>
    <row r="158" ht="15.75" customHeight="1">
      <c r="A158" s="74"/>
      <c r="B158" s="75"/>
    </row>
    <row r="159" ht="15.75" customHeight="1">
      <c r="A159" s="74"/>
      <c r="B159" s="75"/>
    </row>
    <row r="160" ht="15.75" customHeight="1">
      <c r="A160" s="74"/>
      <c r="B160" s="75"/>
    </row>
    <row r="161" ht="15.75" customHeight="1">
      <c r="A161" s="74"/>
      <c r="B161" s="75"/>
    </row>
    <row r="162" ht="15.75" customHeight="1">
      <c r="A162" s="74"/>
      <c r="B162" s="75"/>
    </row>
    <row r="163" ht="15.75" customHeight="1">
      <c r="A163" s="74"/>
      <c r="B163" s="75"/>
    </row>
    <row r="164" ht="15.75" customHeight="1">
      <c r="A164" s="74"/>
      <c r="B164" s="75"/>
    </row>
    <row r="165" ht="15.75" customHeight="1">
      <c r="A165" s="74"/>
      <c r="B165" s="75"/>
    </row>
    <row r="166" ht="15.75" customHeight="1">
      <c r="A166" s="74"/>
      <c r="B166" s="75"/>
    </row>
    <row r="167" ht="15.75" customHeight="1">
      <c r="A167" s="74"/>
      <c r="B167" s="75"/>
    </row>
    <row r="168" ht="15.75" customHeight="1">
      <c r="A168" s="74"/>
      <c r="B168" s="75"/>
    </row>
    <row r="169" ht="15.75" customHeight="1">
      <c r="A169" s="74"/>
      <c r="B169" s="75"/>
    </row>
    <row r="170" ht="15.75" customHeight="1">
      <c r="A170" s="74"/>
      <c r="B170" s="75"/>
    </row>
    <row r="171" ht="15.75" customHeight="1">
      <c r="A171" s="74"/>
      <c r="B171" s="75"/>
    </row>
    <row r="172" ht="15.75" customHeight="1">
      <c r="A172" s="74"/>
      <c r="B172" s="75"/>
    </row>
    <row r="173" ht="15.75" customHeight="1">
      <c r="A173" s="74"/>
      <c r="B173" s="75"/>
    </row>
    <row r="174" ht="15.75" customHeight="1">
      <c r="A174" s="74"/>
      <c r="B174" s="75"/>
    </row>
    <row r="175" ht="15.75" customHeight="1">
      <c r="A175" s="74"/>
      <c r="B175" s="75"/>
    </row>
    <row r="176" ht="15.75" customHeight="1">
      <c r="A176" s="74"/>
      <c r="B176" s="75"/>
    </row>
    <row r="177" ht="15.75" customHeight="1">
      <c r="A177" s="74"/>
      <c r="B177" s="75"/>
    </row>
    <row r="178" ht="15.75" customHeight="1">
      <c r="A178" s="74"/>
      <c r="B178" s="75"/>
    </row>
    <row r="179" ht="15.75" customHeight="1">
      <c r="A179" s="74"/>
      <c r="B179" s="75"/>
    </row>
    <row r="180" ht="15.75" customHeight="1">
      <c r="A180" s="74"/>
      <c r="B180" s="75"/>
    </row>
    <row r="181" ht="15.75" customHeight="1">
      <c r="A181" s="74"/>
      <c r="B181" s="75"/>
    </row>
    <row r="182" ht="15.75" customHeight="1">
      <c r="A182" s="74"/>
      <c r="B182" s="75"/>
    </row>
    <row r="183" ht="15.75" customHeight="1">
      <c r="A183" s="74"/>
      <c r="B183" s="75"/>
    </row>
    <row r="184" ht="15.75" customHeight="1">
      <c r="A184" s="74"/>
      <c r="B184" s="75"/>
    </row>
    <row r="185" ht="15.75" customHeight="1">
      <c r="A185" s="74"/>
      <c r="B185" s="75"/>
    </row>
    <row r="186" ht="15.75" customHeight="1">
      <c r="A186" s="74"/>
      <c r="B186" s="75"/>
    </row>
    <row r="187" ht="15.75" customHeight="1">
      <c r="A187" s="74"/>
      <c r="B187" s="75"/>
    </row>
    <row r="188" ht="15.75" customHeight="1">
      <c r="A188" s="74"/>
      <c r="B188" s="75"/>
    </row>
    <row r="189" ht="15.75" customHeight="1">
      <c r="A189" s="74"/>
      <c r="B189" s="75"/>
    </row>
    <row r="190" ht="15.75" customHeight="1">
      <c r="A190" s="74"/>
      <c r="B190" s="75"/>
    </row>
    <row r="191" ht="15.75" customHeight="1">
      <c r="A191" s="74"/>
      <c r="B191" s="75"/>
    </row>
    <row r="192" ht="15.75" customHeight="1">
      <c r="A192" s="74"/>
      <c r="B192" s="75"/>
    </row>
    <row r="193" ht="15.75" customHeight="1">
      <c r="A193" s="74"/>
      <c r="B193" s="75"/>
    </row>
    <row r="194" ht="15.75" customHeight="1">
      <c r="A194" s="74"/>
      <c r="B194" s="75"/>
    </row>
    <row r="195" ht="15.75" customHeight="1">
      <c r="A195" s="74"/>
      <c r="B195" s="75"/>
    </row>
    <row r="196" ht="15.75" customHeight="1">
      <c r="A196" s="74"/>
      <c r="B196" s="75"/>
    </row>
    <row r="197" ht="15.75" customHeight="1">
      <c r="A197" s="74"/>
      <c r="B197" s="75"/>
    </row>
    <row r="198" ht="15.75" customHeight="1">
      <c r="A198" s="74"/>
      <c r="B198" s="75"/>
    </row>
    <row r="199" ht="15.75" customHeight="1">
      <c r="A199" s="74"/>
      <c r="B199" s="75"/>
    </row>
    <row r="200" ht="15.75" customHeight="1">
      <c r="A200" s="74"/>
      <c r="B200" s="75"/>
    </row>
    <row r="201" ht="15.75" customHeight="1">
      <c r="A201" s="74"/>
      <c r="B201" s="75"/>
    </row>
    <row r="202" ht="15.75" customHeight="1">
      <c r="A202" s="74"/>
      <c r="B202" s="75"/>
    </row>
    <row r="203" ht="15.75" customHeight="1">
      <c r="A203" s="74"/>
      <c r="B203" s="75"/>
    </row>
    <row r="204" ht="15.75" customHeight="1">
      <c r="A204" s="74"/>
      <c r="B204" s="75"/>
    </row>
    <row r="205" ht="15.75" customHeight="1">
      <c r="A205" s="74"/>
      <c r="B205" s="75"/>
    </row>
    <row r="206" ht="15.75" customHeight="1">
      <c r="A206" s="74"/>
      <c r="B206" s="75"/>
    </row>
    <row r="207" ht="15.75" customHeight="1">
      <c r="A207" s="74"/>
      <c r="B207" s="75"/>
    </row>
    <row r="208" ht="15.75" customHeight="1">
      <c r="A208" s="74"/>
      <c r="B208" s="75"/>
    </row>
    <row r="209" ht="15.75" customHeight="1">
      <c r="A209" s="74"/>
      <c r="B209" s="75"/>
    </row>
    <row r="210" ht="15.75" customHeight="1">
      <c r="A210" s="74"/>
      <c r="B210" s="75"/>
    </row>
    <row r="211" ht="15.75" customHeight="1">
      <c r="A211" s="74"/>
      <c r="B211" s="75"/>
    </row>
    <row r="212" ht="15.75" customHeight="1">
      <c r="A212" s="74"/>
      <c r="B212" s="75"/>
    </row>
    <row r="213" ht="15.75" customHeight="1">
      <c r="A213" s="74"/>
      <c r="B213" s="75"/>
    </row>
    <row r="214" ht="15.75" customHeight="1">
      <c r="A214" s="74"/>
      <c r="B214" s="75"/>
    </row>
    <row r="215" ht="15.75" customHeight="1">
      <c r="A215" s="74"/>
      <c r="B215" s="75"/>
    </row>
    <row r="216" ht="15.75" customHeight="1">
      <c r="A216" s="74"/>
      <c r="B216" s="75"/>
    </row>
    <row r="217" ht="15.75" customHeight="1">
      <c r="A217" s="74"/>
      <c r="B217" s="75"/>
    </row>
    <row r="218" ht="15.75" customHeight="1">
      <c r="A218" s="74"/>
      <c r="B218" s="75"/>
    </row>
    <row r="219" ht="15.75" customHeight="1">
      <c r="A219" s="74"/>
      <c r="B219" s="75"/>
    </row>
    <row r="220" ht="15.75" customHeight="1">
      <c r="A220" s="74"/>
      <c r="B220" s="75"/>
    </row>
    <row r="221" ht="15.75" customHeight="1">
      <c r="A221" s="74"/>
      <c r="B221" s="75"/>
    </row>
    <row r="222" ht="15.75" customHeight="1">
      <c r="A222" s="74"/>
      <c r="B222" s="75"/>
    </row>
    <row r="223" ht="15.75" customHeight="1">
      <c r="A223" s="74"/>
      <c r="B223" s="75"/>
    </row>
    <row r="224" ht="15.75" customHeight="1">
      <c r="A224" s="74"/>
      <c r="B224" s="75"/>
    </row>
    <row r="225" ht="15.75" customHeight="1">
      <c r="A225" s="74"/>
      <c r="B225" s="75"/>
    </row>
    <row r="226" ht="15.75" customHeight="1">
      <c r="A226" s="74"/>
      <c r="B226" s="75"/>
    </row>
    <row r="227" ht="15.75" customHeight="1">
      <c r="A227" s="74"/>
      <c r="B227" s="75"/>
    </row>
    <row r="228" ht="15.75" customHeight="1">
      <c r="A228" s="74"/>
      <c r="B228" s="75"/>
    </row>
    <row r="229" ht="15.75" customHeight="1">
      <c r="A229" s="74"/>
      <c r="B229" s="75"/>
    </row>
    <row r="230" ht="15.75" customHeight="1">
      <c r="A230" s="74"/>
      <c r="B230" s="75"/>
    </row>
    <row r="231" ht="15.75" customHeight="1">
      <c r="A231" s="74"/>
      <c r="B231" s="75"/>
    </row>
    <row r="232" ht="15.75" customHeight="1">
      <c r="A232" s="74"/>
      <c r="B232" s="75"/>
    </row>
    <row r="233" ht="15.75" customHeight="1">
      <c r="A233" s="74"/>
      <c r="B233" s="75"/>
    </row>
    <row r="234" ht="15.75" customHeight="1">
      <c r="A234" s="74"/>
      <c r="B234" s="75"/>
    </row>
    <row r="235" ht="15.75" customHeight="1">
      <c r="A235" s="74"/>
      <c r="B235" s="75"/>
    </row>
    <row r="236" ht="15.75" customHeight="1">
      <c r="A236" s="74"/>
      <c r="B236" s="75"/>
    </row>
    <row r="237" ht="15.75" customHeight="1">
      <c r="A237" s="74"/>
      <c r="B237" s="75"/>
    </row>
    <row r="238" ht="15.75" customHeight="1">
      <c r="A238" s="74"/>
      <c r="B238" s="75"/>
    </row>
    <row r="239" ht="15.75" customHeight="1">
      <c r="A239" s="74"/>
      <c r="B239" s="75"/>
    </row>
    <row r="240" ht="15.75" customHeight="1">
      <c r="A240" s="74"/>
      <c r="B240" s="75"/>
    </row>
    <row r="241" ht="15.75" customHeight="1">
      <c r="A241" s="74"/>
      <c r="B241" s="75"/>
    </row>
    <row r="242" ht="15.75" customHeight="1">
      <c r="A242" s="74"/>
      <c r="B242" s="75"/>
    </row>
    <row r="243" ht="15.75" customHeight="1">
      <c r="A243" s="74"/>
      <c r="B243" s="75"/>
    </row>
    <row r="244" ht="15.75" customHeight="1">
      <c r="A244" s="74"/>
      <c r="B244" s="75"/>
    </row>
    <row r="245" ht="15.75" customHeight="1">
      <c r="A245" s="74"/>
      <c r="B245" s="75"/>
    </row>
    <row r="246" ht="15.75" customHeight="1">
      <c r="A246" s="74"/>
      <c r="B246" s="75"/>
    </row>
    <row r="247" ht="15.75" customHeight="1">
      <c r="A247" s="74"/>
      <c r="B247" s="75"/>
    </row>
    <row r="248" ht="15.75" customHeight="1">
      <c r="A248" s="74"/>
      <c r="B248" s="75"/>
    </row>
    <row r="249" ht="15.75" customHeight="1">
      <c r="A249" s="74"/>
      <c r="B249" s="75"/>
    </row>
    <row r="250" ht="15.75" customHeight="1">
      <c r="A250" s="74"/>
      <c r="B250" s="75"/>
    </row>
    <row r="251" ht="15.75" customHeight="1">
      <c r="A251" s="74"/>
      <c r="B251" s="75"/>
    </row>
    <row r="252" ht="15.75" customHeight="1">
      <c r="A252" s="74"/>
      <c r="B252" s="75"/>
    </row>
    <row r="253" ht="15.75" customHeight="1">
      <c r="A253" s="74"/>
      <c r="B253" s="75"/>
    </row>
    <row r="254" ht="15.75" customHeight="1">
      <c r="A254" s="74"/>
      <c r="B254" s="75"/>
    </row>
    <row r="255" ht="15.75" customHeight="1">
      <c r="A255" s="74"/>
      <c r="B255" s="75"/>
    </row>
    <row r="256" ht="15.75" customHeight="1">
      <c r="A256" s="74"/>
      <c r="B256" s="75"/>
    </row>
    <row r="257" ht="15.75" customHeight="1">
      <c r="A257" s="74"/>
      <c r="B257" s="75"/>
    </row>
    <row r="258" ht="15.75" customHeight="1">
      <c r="A258" s="74"/>
      <c r="B258" s="75"/>
    </row>
    <row r="259" ht="15.75" customHeight="1">
      <c r="A259" s="74"/>
      <c r="B259" s="75"/>
    </row>
    <row r="260" ht="15.75" customHeight="1">
      <c r="A260" s="74"/>
      <c r="B260" s="75"/>
    </row>
    <row r="261" ht="15.75" customHeight="1">
      <c r="A261" s="74"/>
      <c r="B261" s="75"/>
    </row>
    <row r="262" ht="15.75" customHeight="1">
      <c r="A262" s="74"/>
      <c r="B262" s="75"/>
    </row>
    <row r="263" ht="15.75" customHeight="1">
      <c r="A263" s="74"/>
      <c r="B263" s="75"/>
    </row>
    <row r="264" ht="15.75" customHeight="1">
      <c r="A264" s="74"/>
      <c r="B264" s="75"/>
    </row>
    <row r="265" ht="15.75" customHeight="1">
      <c r="A265" s="74"/>
      <c r="B265" s="75"/>
    </row>
    <row r="266" ht="15.75" customHeight="1">
      <c r="A266" s="74"/>
      <c r="B266" s="75"/>
    </row>
    <row r="267" ht="15.75" customHeight="1">
      <c r="A267" s="74"/>
      <c r="B267" s="75"/>
    </row>
    <row r="268" ht="15.75" customHeight="1">
      <c r="A268" s="74"/>
      <c r="B268" s="75"/>
    </row>
    <row r="269" ht="15.75" customHeight="1">
      <c r="A269" s="74"/>
      <c r="B269" s="75"/>
    </row>
    <row r="270" ht="15.75" customHeight="1">
      <c r="A270" s="74"/>
      <c r="B270" s="75"/>
    </row>
    <row r="271" ht="15.75" customHeight="1">
      <c r="A271" s="74"/>
      <c r="B271" s="75"/>
    </row>
    <row r="272" ht="15.75" customHeight="1">
      <c r="A272" s="74"/>
      <c r="B272" s="75"/>
    </row>
    <row r="273" ht="15.75" customHeight="1">
      <c r="A273" s="74"/>
      <c r="B273" s="75"/>
    </row>
    <row r="274" ht="15.75" customHeight="1">
      <c r="A274" s="74"/>
      <c r="B274" s="75"/>
    </row>
    <row r="275" ht="15.75" customHeight="1">
      <c r="A275" s="74"/>
      <c r="B275" s="75"/>
    </row>
    <row r="276" ht="15.75" customHeight="1">
      <c r="A276" s="74"/>
      <c r="B276" s="75"/>
    </row>
    <row r="277" ht="15.75" customHeight="1">
      <c r="A277" s="74"/>
      <c r="B277" s="75"/>
    </row>
    <row r="278" ht="15.75" customHeight="1">
      <c r="A278" s="74"/>
      <c r="B278" s="75"/>
    </row>
    <row r="279" ht="15.75" customHeight="1">
      <c r="A279" s="74"/>
      <c r="B279" s="75"/>
    </row>
    <row r="280" ht="15.75" customHeight="1">
      <c r="A280" s="74"/>
      <c r="B280" s="75"/>
    </row>
    <row r="281" ht="15.75" customHeight="1">
      <c r="A281" s="74"/>
      <c r="B281" s="75"/>
    </row>
    <row r="282" ht="15.75" customHeight="1">
      <c r="A282" s="74"/>
      <c r="B282" s="75"/>
    </row>
    <row r="283" ht="15.75" customHeight="1">
      <c r="A283" s="74"/>
      <c r="B283" s="75"/>
    </row>
    <row r="284" ht="15.75" customHeight="1">
      <c r="A284" s="74"/>
      <c r="B284" s="75"/>
    </row>
    <row r="285" ht="15.75" customHeight="1">
      <c r="A285" s="74"/>
      <c r="B285" s="75"/>
    </row>
    <row r="286" ht="15.75" customHeight="1">
      <c r="A286" s="74"/>
      <c r="B286" s="75"/>
    </row>
    <row r="287" ht="15.75" customHeight="1">
      <c r="A287" s="74"/>
      <c r="B287" s="75"/>
    </row>
    <row r="288" ht="15.75" customHeight="1">
      <c r="A288" s="74"/>
      <c r="B288" s="75"/>
    </row>
    <row r="289" ht="15.75" customHeight="1">
      <c r="A289" s="74"/>
      <c r="B289" s="75"/>
    </row>
    <row r="290" ht="15.75" customHeight="1">
      <c r="A290" s="74"/>
      <c r="B290" s="75"/>
    </row>
    <row r="291" ht="15.75" customHeight="1">
      <c r="A291" s="74"/>
      <c r="B291" s="75"/>
    </row>
    <row r="292" ht="15.75" customHeight="1">
      <c r="A292" s="74"/>
      <c r="B292" s="75"/>
    </row>
    <row r="293" ht="15.75" customHeight="1">
      <c r="A293" s="74"/>
      <c r="B293" s="75"/>
    </row>
    <row r="294" ht="15.75" customHeight="1">
      <c r="A294" s="74"/>
      <c r="B294" s="75"/>
    </row>
    <row r="295" ht="15.75" customHeight="1">
      <c r="A295" s="74"/>
      <c r="B295" s="75"/>
    </row>
    <row r="296" ht="15.75" customHeight="1">
      <c r="A296" s="74"/>
      <c r="B296" s="75"/>
    </row>
    <row r="297" ht="15.75" customHeight="1">
      <c r="A297" s="74"/>
      <c r="B297" s="75"/>
    </row>
    <row r="298" ht="15.75" customHeight="1">
      <c r="A298" s="74"/>
      <c r="B298" s="75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5">
    <mergeCell ref="C45:D45"/>
    <mergeCell ref="C46:D46"/>
    <mergeCell ref="C47:D47"/>
    <mergeCell ref="E47:F47"/>
    <mergeCell ref="C48:D48"/>
    <mergeCell ref="C50:D50"/>
    <mergeCell ref="C51:D51"/>
    <mergeCell ref="C52:D52"/>
    <mergeCell ref="A1:C1"/>
    <mergeCell ref="D1:D4"/>
    <mergeCell ref="E1:X1"/>
    <mergeCell ref="A4:C4"/>
    <mergeCell ref="A5:C5"/>
    <mergeCell ref="C43:D43"/>
    <mergeCell ref="C44:D44"/>
  </mergeCells>
  <conditionalFormatting sqref="D5:D41">
    <cfRule type="cellIs" dxfId="3" priority="1" operator="greaterThanOrEqual">
      <formula>5</formula>
    </cfRule>
  </conditionalFormatting>
  <conditionalFormatting sqref="D5:D41">
    <cfRule type="cellIs" dxfId="6" priority="2" operator="lessThan">
      <formula>5</formula>
    </cfRule>
  </conditionalFormatting>
  <conditionalFormatting sqref="E5:E41">
    <cfRule type="cellIs" dxfId="0" priority="3" operator="equal">
      <formula>"A"</formula>
    </cfRule>
  </conditionalFormatting>
  <conditionalFormatting sqref="F5:F41">
    <cfRule type="cellIs" dxfId="0" priority="4" operator="equal">
      <formula>"B"</formula>
    </cfRule>
  </conditionalFormatting>
  <conditionalFormatting sqref="I5:I41">
    <cfRule type="cellIs" dxfId="0" priority="5" operator="equal">
      <formula>"B"</formula>
    </cfRule>
  </conditionalFormatting>
  <conditionalFormatting sqref="J5:J41">
    <cfRule type="cellIs" dxfId="0" priority="6" operator="equal">
      <formula>"B"</formula>
    </cfRule>
  </conditionalFormatting>
  <conditionalFormatting sqref="L5:L41">
    <cfRule type="cellIs" dxfId="0" priority="7" operator="equal">
      <formula>"D"</formula>
    </cfRule>
  </conditionalFormatting>
  <conditionalFormatting sqref="M5:M41">
    <cfRule type="cellIs" dxfId="0" priority="8" operator="equal">
      <formula>"B"</formula>
    </cfRule>
  </conditionalFormatting>
  <conditionalFormatting sqref="N5:N41">
    <cfRule type="cellIs" dxfId="0" priority="9" operator="equal">
      <formula>"C"</formula>
    </cfRule>
  </conditionalFormatting>
  <conditionalFormatting sqref="O5:O41">
    <cfRule type="cellIs" dxfId="0" priority="10" operator="equal">
      <formula>"E"</formula>
    </cfRule>
  </conditionalFormatting>
  <conditionalFormatting sqref="Q5:Q41">
    <cfRule type="cellIs" dxfId="0" priority="11" operator="equal">
      <formula>"D"</formula>
    </cfRule>
  </conditionalFormatting>
  <conditionalFormatting sqref="R5:R41">
    <cfRule type="cellIs" dxfId="0" priority="12" operator="equal">
      <formula>"E"</formula>
    </cfRule>
  </conditionalFormatting>
  <conditionalFormatting sqref="T5:T41">
    <cfRule type="cellIs" dxfId="0" priority="13" operator="equal">
      <formula>"##"</formula>
    </cfRule>
  </conditionalFormatting>
  <conditionalFormatting sqref="V5:V41">
    <cfRule type="cellIs" dxfId="0" priority="14" operator="equal">
      <formula>"D"</formula>
    </cfRule>
  </conditionalFormatting>
  <conditionalFormatting sqref="W5:W41">
    <cfRule type="cellIs" dxfId="0" priority="15" operator="equal">
      <formula>"D"</formula>
    </cfRule>
  </conditionalFormatting>
  <conditionalFormatting sqref="E43:X43">
    <cfRule type="cellIs" dxfId="4" priority="16" operator="lessThan">
      <formula>18</formula>
    </cfRule>
  </conditionalFormatting>
  <conditionalFormatting sqref="E43:X43">
    <cfRule type="cellIs" dxfId="5" priority="17" operator="greaterThan">
      <formula>17</formula>
    </cfRule>
  </conditionalFormatting>
  <conditionalFormatting sqref="E44:X44">
    <cfRule type="cellIs" dxfId="4" priority="18" operator="lessThan">
      <formula>"50%"</formula>
    </cfRule>
  </conditionalFormatting>
  <conditionalFormatting sqref="E44:X44">
    <cfRule type="cellIs" dxfId="5" priority="19" operator="greaterThan">
      <formula>"50%"</formula>
    </cfRule>
  </conditionalFormatting>
  <conditionalFormatting sqref="E45:X45">
    <cfRule type="cellIs" dxfId="4" priority="20" operator="greaterThan">
      <formula>17</formula>
    </cfRule>
  </conditionalFormatting>
  <conditionalFormatting sqref="E45:X45">
    <cfRule type="cellIs" dxfId="5" priority="21" operator="lessThan">
      <formula>18</formula>
    </cfRule>
  </conditionalFormatting>
  <conditionalFormatting sqref="P5:P41">
    <cfRule type="cellIs" dxfId="0" priority="22" operator="equal">
      <formula>"B"</formula>
    </cfRule>
  </conditionalFormatting>
  <conditionalFormatting sqref="S5:S41">
    <cfRule type="cellIs" dxfId="0" priority="23" operator="equal">
      <formula>"C"</formula>
    </cfRule>
  </conditionalFormatting>
  <conditionalFormatting sqref="H5:H41">
    <cfRule type="cellIs" dxfId="0" priority="24" operator="equal">
      <formula>"B"</formula>
    </cfRule>
  </conditionalFormatting>
  <conditionalFormatting sqref="K5:K41">
    <cfRule type="cellIs" dxfId="0" priority="25" operator="equal">
      <formula>"D"</formula>
    </cfRule>
  </conditionalFormatting>
  <conditionalFormatting sqref="U5:U41">
    <cfRule type="cellIs" dxfId="0" priority="26" operator="equal">
      <formula>"D"</formula>
    </cfRule>
  </conditionalFormatting>
  <conditionalFormatting sqref="G5:G41">
    <cfRule type="cellIs" dxfId="0" priority="27" operator="equal">
      <formula>"C"</formula>
    </cfRule>
  </conditionalFormatting>
  <conditionalFormatting sqref="X5:X41">
    <cfRule type="cellIs" dxfId="0" priority="28" operator="equal">
      <formula>"C"</formula>
    </cfRule>
  </conditionalFormatting>
  <conditionalFormatting sqref="D61:X97">
    <cfRule type="cellIs" dxfId="0" priority="29" operator="equal">
      <formula>0.5</formula>
    </cfRule>
  </conditionalFormatting>
  <conditionalFormatting sqref="B62:B97">
    <cfRule type="containsBlanks" dxfId="1" priority="30">
      <formula>LEN(TRIM(B62))=0</formula>
    </cfRule>
  </conditionalFormatting>
  <conditionalFormatting sqref="B62:B97">
    <cfRule type="cellIs" dxfId="1" priority="31" operator="equal">
      <formula>0</formula>
    </cfRule>
  </conditionalFormatting>
  <conditionalFormatting sqref="D5:D41">
    <cfRule type="containsBlanks" dxfId="7" priority="32">
      <formula>LEN(TRIM(D5))=0</formula>
    </cfRule>
  </conditionalFormatting>
  <conditionalFormatting sqref="E46:X46">
    <cfRule type="cellIs" dxfId="2" priority="33" operator="greaterThan">
      <formula>"50%"</formula>
    </cfRule>
  </conditionalFormatting>
  <conditionalFormatting sqref="E46:X46">
    <cfRule type="cellIs" dxfId="8" priority="34" operator="lessThanOrEqual">
      <formula>"50%"</formula>
    </cfRule>
  </conditionalFormatting>
  <conditionalFormatting sqref="E48:X48">
    <cfRule type="cellIs" dxfId="8" priority="35" operator="greaterThanOrEqual">
      <formula>"50%"</formula>
    </cfRule>
  </conditionalFormatting>
  <conditionalFormatting sqref="E48:X48">
    <cfRule type="cellIs" dxfId="2" priority="36" operator="lessThan">
      <formula>"50%"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1" max="1" width="3.0"/>
    <col customWidth="1" min="2" max="2" width="11.75"/>
    <col customWidth="1" min="3" max="3" width="1.0"/>
    <col customWidth="1" min="4" max="24" width="4.5"/>
  </cols>
  <sheetData>
    <row r="1" ht="15.75" customHeight="1">
      <c r="A1" s="22" t="s">
        <v>362</v>
      </c>
      <c r="B1" s="23"/>
      <c r="C1" s="24"/>
      <c r="D1" s="25" t="s">
        <v>330</v>
      </c>
      <c r="E1" s="26" t="s">
        <v>331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4"/>
    </row>
    <row r="2" ht="15.75" customHeight="1">
      <c r="A2" s="27" t="s">
        <v>0</v>
      </c>
      <c r="B2" s="28" t="s">
        <v>332</v>
      </c>
      <c r="C2" s="27" t="s">
        <v>333</v>
      </c>
      <c r="D2" s="29"/>
      <c r="E2" s="30">
        <v>1.0</v>
      </c>
      <c r="F2" s="31">
        <v>2.0</v>
      </c>
      <c r="G2" s="31">
        <v>3.0</v>
      </c>
      <c r="H2" s="31">
        <v>4.0</v>
      </c>
      <c r="I2" s="31">
        <v>5.0</v>
      </c>
      <c r="J2" s="31">
        <v>6.0</v>
      </c>
      <c r="K2" s="31">
        <v>7.0</v>
      </c>
      <c r="L2" s="31">
        <v>8.0</v>
      </c>
      <c r="M2" s="31">
        <v>9.0</v>
      </c>
      <c r="N2" s="31">
        <v>10.0</v>
      </c>
      <c r="O2" s="31">
        <v>11.0</v>
      </c>
      <c r="P2" s="31">
        <v>12.0</v>
      </c>
      <c r="Q2" s="31">
        <v>13.0</v>
      </c>
      <c r="R2" s="31">
        <v>14.0</v>
      </c>
      <c r="S2" s="31">
        <v>15.0</v>
      </c>
      <c r="T2" s="31">
        <v>16.0</v>
      </c>
      <c r="U2" s="31">
        <v>17.0</v>
      </c>
      <c r="V2" s="31">
        <v>18.0</v>
      </c>
      <c r="W2" s="31">
        <v>19.0</v>
      </c>
      <c r="X2" s="31">
        <v>20.0</v>
      </c>
    </row>
    <row r="3" ht="15.75" customHeight="1">
      <c r="A3" s="32" t="s">
        <v>334</v>
      </c>
      <c r="B3" s="32" t="s">
        <v>335</v>
      </c>
      <c r="C3" s="33" t="s">
        <v>336</v>
      </c>
      <c r="D3" s="29"/>
      <c r="E3" s="34" t="s">
        <v>29</v>
      </c>
      <c r="F3" s="35" t="s">
        <v>28</v>
      </c>
      <c r="G3" s="35" t="s">
        <v>30</v>
      </c>
      <c r="H3" s="35" t="s">
        <v>28</v>
      </c>
      <c r="I3" s="35" t="s">
        <v>28</v>
      </c>
      <c r="J3" s="35" t="s">
        <v>28</v>
      </c>
      <c r="K3" s="35" t="s">
        <v>31</v>
      </c>
      <c r="L3" s="35" t="s">
        <v>31</v>
      </c>
      <c r="M3" s="35" t="s">
        <v>28</v>
      </c>
      <c r="N3" s="35" t="s">
        <v>30</v>
      </c>
      <c r="O3" s="35" t="s">
        <v>32</v>
      </c>
      <c r="P3" s="35" t="s">
        <v>28</v>
      </c>
      <c r="Q3" s="35" t="s">
        <v>31</v>
      </c>
      <c r="R3" s="35" t="s">
        <v>32</v>
      </c>
      <c r="S3" s="35" t="s">
        <v>30</v>
      </c>
      <c r="T3" s="36" t="s">
        <v>337</v>
      </c>
      <c r="U3" s="35" t="s">
        <v>31</v>
      </c>
      <c r="V3" s="35" t="s">
        <v>31</v>
      </c>
      <c r="W3" s="35" t="s">
        <v>31</v>
      </c>
      <c r="X3" s="35" t="s">
        <v>30</v>
      </c>
    </row>
    <row r="4" ht="15.75" customHeight="1">
      <c r="A4" s="37" t="s">
        <v>338</v>
      </c>
      <c r="B4" s="38"/>
      <c r="C4" s="39"/>
      <c r="D4" s="40"/>
      <c r="E4" s="41">
        <v>0.5</v>
      </c>
      <c r="F4" s="42">
        <v>0.5</v>
      </c>
      <c r="G4" s="42">
        <v>0.5</v>
      </c>
      <c r="H4" s="42">
        <v>0.5</v>
      </c>
      <c r="I4" s="42">
        <v>0.5</v>
      </c>
      <c r="J4" s="42">
        <v>0.5</v>
      </c>
      <c r="K4" s="42">
        <v>0.5</v>
      </c>
      <c r="L4" s="42">
        <v>0.5</v>
      </c>
      <c r="M4" s="42">
        <v>0.5</v>
      </c>
      <c r="N4" s="42">
        <v>0.5</v>
      </c>
      <c r="O4" s="42">
        <v>0.5</v>
      </c>
      <c r="P4" s="42">
        <v>0.5</v>
      </c>
      <c r="Q4" s="42">
        <v>0.5</v>
      </c>
      <c r="R4" s="42">
        <v>0.5</v>
      </c>
      <c r="S4" s="42">
        <v>0.5</v>
      </c>
      <c r="T4" s="42">
        <v>0.5</v>
      </c>
      <c r="U4" s="42">
        <v>0.5</v>
      </c>
      <c r="V4" s="42">
        <v>0.5</v>
      </c>
      <c r="W4" s="42">
        <v>0.5</v>
      </c>
      <c r="X4" s="42">
        <v>0.5</v>
      </c>
    </row>
    <row r="5" ht="15.75" customHeight="1">
      <c r="A5" s="43" t="s">
        <v>339</v>
      </c>
      <c r="B5" s="23"/>
      <c r="C5" s="24"/>
      <c r="D5" s="44">
        <f t="shared" ref="D5:D6" si="1">B60</f>
        <v>10</v>
      </c>
      <c r="E5" s="45" t="s">
        <v>29</v>
      </c>
      <c r="F5" s="46" t="s">
        <v>28</v>
      </c>
      <c r="G5" s="46" t="s">
        <v>30</v>
      </c>
      <c r="H5" s="46" t="s">
        <v>28</v>
      </c>
      <c r="I5" s="46" t="s">
        <v>28</v>
      </c>
      <c r="J5" s="46" t="s">
        <v>28</v>
      </c>
      <c r="K5" s="46" t="s">
        <v>31</v>
      </c>
      <c r="L5" s="46" t="s">
        <v>31</v>
      </c>
      <c r="M5" s="46" t="s">
        <v>28</v>
      </c>
      <c r="N5" s="46" t="s">
        <v>30</v>
      </c>
      <c r="O5" s="46" t="s">
        <v>32</v>
      </c>
      <c r="P5" s="46" t="s">
        <v>28</v>
      </c>
      <c r="Q5" s="46" t="s">
        <v>31</v>
      </c>
      <c r="R5" s="46" t="s">
        <v>32</v>
      </c>
      <c r="S5" s="46" t="s">
        <v>30</v>
      </c>
      <c r="T5" s="46" t="s">
        <v>337</v>
      </c>
      <c r="U5" s="46" t="s">
        <v>31</v>
      </c>
      <c r="V5" s="46" t="s">
        <v>31</v>
      </c>
      <c r="W5" s="46" t="s">
        <v>31</v>
      </c>
      <c r="X5" s="46" t="s">
        <v>30</v>
      </c>
    </row>
    <row r="6" ht="15.75" customHeight="1">
      <c r="A6" s="47">
        <v>1.0</v>
      </c>
      <c r="B6" s="48" t="s">
        <v>259</v>
      </c>
      <c r="C6" s="49" t="s">
        <v>260</v>
      </c>
      <c r="D6" s="50">
        <f t="shared" si="1"/>
        <v>6</v>
      </c>
      <c r="E6" s="51" t="s">
        <v>29</v>
      </c>
      <c r="F6" s="52" t="s">
        <v>28</v>
      </c>
      <c r="G6" s="52" t="s">
        <v>28</v>
      </c>
      <c r="H6" s="52" t="s">
        <v>28</v>
      </c>
      <c r="I6" s="52" t="s">
        <v>29</v>
      </c>
      <c r="J6" s="52" t="s">
        <v>29</v>
      </c>
      <c r="K6" s="52" t="s">
        <v>31</v>
      </c>
      <c r="L6" s="52" t="s">
        <v>31</v>
      </c>
      <c r="M6" s="52" t="s">
        <v>28</v>
      </c>
      <c r="N6" s="52" t="s">
        <v>30</v>
      </c>
      <c r="O6" s="52" t="s">
        <v>32</v>
      </c>
      <c r="P6" s="52" t="s">
        <v>28</v>
      </c>
      <c r="Q6" s="52" t="s">
        <v>31</v>
      </c>
      <c r="R6" s="52" t="s">
        <v>29</v>
      </c>
      <c r="S6" s="52" t="s">
        <v>30</v>
      </c>
      <c r="T6" s="52" t="s">
        <v>30</v>
      </c>
      <c r="U6" s="52" t="s">
        <v>31</v>
      </c>
      <c r="V6" s="52" t="s">
        <v>32</v>
      </c>
      <c r="W6" s="52" t="s">
        <v>32</v>
      </c>
      <c r="X6" s="52" t="s">
        <v>28</v>
      </c>
    </row>
    <row r="7" ht="15.75" customHeight="1">
      <c r="A7" s="53">
        <v>2.0</v>
      </c>
      <c r="B7" s="54" t="s">
        <v>261</v>
      </c>
      <c r="C7" s="55" t="s">
        <v>262</v>
      </c>
      <c r="D7" s="56"/>
      <c r="E7" s="51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 ht="15.75" customHeight="1">
      <c r="A8" s="53">
        <v>3.0</v>
      </c>
      <c r="B8" s="54" t="s">
        <v>263</v>
      </c>
      <c r="C8" s="55" t="s">
        <v>264</v>
      </c>
      <c r="D8" s="56">
        <f t="shared" ref="D8:D9" si="2">B63</f>
        <v>5.5</v>
      </c>
      <c r="E8" s="51" t="s">
        <v>28</v>
      </c>
      <c r="F8" s="52" t="s">
        <v>28</v>
      </c>
      <c r="G8" s="52" t="s">
        <v>32</v>
      </c>
      <c r="H8" s="52" t="s">
        <v>28</v>
      </c>
      <c r="I8" s="52" t="s">
        <v>31</v>
      </c>
      <c r="J8" s="52" t="s">
        <v>30</v>
      </c>
      <c r="K8" s="52" t="s">
        <v>30</v>
      </c>
      <c r="L8" s="52" t="s">
        <v>31</v>
      </c>
      <c r="M8" s="52" t="s">
        <v>28</v>
      </c>
      <c r="N8" s="52" t="s">
        <v>30</v>
      </c>
      <c r="O8" s="52" t="s">
        <v>32</v>
      </c>
      <c r="P8" s="52" t="s">
        <v>28</v>
      </c>
      <c r="Q8" s="52" t="s">
        <v>31</v>
      </c>
      <c r="R8" s="52"/>
      <c r="S8" s="52" t="s">
        <v>30</v>
      </c>
      <c r="T8" s="52"/>
      <c r="U8" s="52" t="s">
        <v>31</v>
      </c>
      <c r="V8" s="52" t="s">
        <v>31</v>
      </c>
      <c r="W8" s="52" t="s">
        <v>32</v>
      </c>
      <c r="X8" s="52" t="s">
        <v>28</v>
      </c>
    </row>
    <row r="9" ht="15.75" customHeight="1">
      <c r="A9" s="53">
        <v>4.0</v>
      </c>
      <c r="B9" s="54" t="s">
        <v>265</v>
      </c>
      <c r="C9" s="55" t="s">
        <v>266</v>
      </c>
      <c r="D9" s="56">
        <f t="shared" si="2"/>
        <v>3.5</v>
      </c>
      <c r="E9" s="51" t="s">
        <v>28</v>
      </c>
      <c r="F9" s="52" t="s">
        <v>29</v>
      </c>
      <c r="G9" s="52" t="s">
        <v>32</v>
      </c>
      <c r="H9" s="52" t="s">
        <v>28</v>
      </c>
      <c r="I9" s="52" t="s">
        <v>32</v>
      </c>
      <c r="J9" s="52" t="s">
        <v>29</v>
      </c>
      <c r="K9" s="52" t="s">
        <v>30</v>
      </c>
      <c r="L9" s="52" t="s">
        <v>31</v>
      </c>
      <c r="M9" s="52" t="s">
        <v>30</v>
      </c>
      <c r="N9" s="52" t="s">
        <v>31</v>
      </c>
      <c r="O9" s="52" t="s">
        <v>30</v>
      </c>
      <c r="P9" s="52" t="s">
        <v>28</v>
      </c>
      <c r="Q9" s="52" t="s">
        <v>31</v>
      </c>
      <c r="R9" s="52" t="s">
        <v>29</v>
      </c>
      <c r="S9" s="52" t="s">
        <v>31</v>
      </c>
      <c r="T9" s="52" t="s">
        <v>32</v>
      </c>
      <c r="U9" s="52" t="s">
        <v>31</v>
      </c>
      <c r="V9" s="52" t="s">
        <v>30</v>
      </c>
      <c r="W9" s="52" t="s">
        <v>31</v>
      </c>
      <c r="X9" s="52" t="s">
        <v>30</v>
      </c>
    </row>
    <row r="10" ht="15.75" customHeight="1">
      <c r="A10" s="53">
        <v>5.0</v>
      </c>
      <c r="B10" s="54" t="s">
        <v>267</v>
      </c>
      <c r="C10" s="55" t="s">
        <v>268</v>
      </c>
      <c r="D10" s="56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</row>
    <row r="11" ht="15.75" customHeight="1">
      <c r="A11" s="53">
        <v>6.0</v>
      </c>
      <c r="B11" s="54" t="s">
        <v>269</v>
      </c>
      <c r="C11" s="55" t="s">
        <v>270</v>
      </c>
      <c r="D11" s="56">
        <f t="shared" ref="D11:D13" si="3">B66</f>
        <v>5</v>
      </c>
      <c r="E11" s="51" t="s">
        <v>28</v>
      </c>
      <c r="F11" s="52" t="s">
        <v>28</v>
      </c>
      <c r="G11" s="52" t="s">
        <v>30</v>
      </c>
      <c r="H11" s="52" t="s">
        <v>28</v>
      </c>
      <c r="I11" s="52" t="s">
        <v>32</v>
      </c>
      <c r="J11" s="52" t="s">
        <v>31</v>
      </c>
      <c r="K11" s="52" t="s">
        <v>31</v>
      </c>
      <c r="L11" s="52" t="s">
        <v>31</v>
      </c>
      <c r="M11" s="52" t="s">
        <v>28</v>
      </c>
      <c r="N11" s="52" t="s">
        <v>29</v>
      </c>
      <c r="O11" s="52" t="s">
        <v>32</v>
      </c>
      <c r="P11" s="52" t="s">
        <v>28</v>
      </c>
      <c r="Q11" s="52" t="s">
        <v>31</v>
      </c>
      <c r="R11" s="52" t="s">
        <v>30</v>
      </c>
      <c r="S11" s="52" t="s">
        <v>31</v>
      </c>
      <c r="T11" s="52" t="s">
        <v>28</v>
      </c>
      <c r="U11" s="52" t="s">
        <v>31</v>
      </c>
      <c r="V11" s="52" t="s">
        <v>28</v>
      </c>
      <c r="W11" s="52" t="s">
        <v>32</v>
      </c>
      <c r="X11" s="52" t="s">
        <v>28</v>
      </c>
    </row>
    <row r="12" ht="15.75" customHeight="1">
      <c r="A12" s="53">
        <v>7.0</v>
      </c>
      <c r="B12" s="54" t="s">
        <v>271</v>
      </c>
      <c r="C12" s="55" t="s">
        <v>272</v>
      </c>
      <c r="D12" s="56">
        <f t="shared" si="3"/>
        <v>4.5</v>
      </c>
      <c r="E12" s="51" t="s">
        <v>30</v>
      </c>
      <c r="F12" s="52" t="s">
        <v>29</v>
      </c>
      <c r="G12" s="52" t="s">
        <v>32</v>
      </c>
      <c r="H12" s="52" t="s">
        <v>28</v>
      </c>
      <c r="I12" s="52" t="s">
        <v>32</v>
      </c>
      <c r="J12" s="52" t="s">
        <v>28</v>
      </c>
      <c r="K12" s="52" t="s">
        <v>31</v>
      </c>
      <c r="L12" s="52" t="s">
        <v>30</v>
      </c>
      <c r="M12" s="52" t="s">
        <v>28</v>
      </c>
      <c r="N12" s="52" t="s">
        <v>30</v>
      </c>
      <c r="O12" s="52" t="s">
        <v>32</v>
      </c>
      <c r="P12" s="52" t="s">
        <v>28</v>
      </c>
      <c r="Q12" s="52" t="s">
        <v>30</v>
      </c>
      <c r="R12" s="52" t="s">
        <v>31</v>
      </c>
      <c r="S12" s="52" t="s">
        <v>31</v>
      </c>
      <c r="T12" s="52" t="s">
        <v>29</v>
      </c>
      <c r="U12" s="52" t="s">
        <v>31</v>
      </c>
      <c r="V12" s="52" t="s">
        <v>28</v>
      </c>
      <c r="W12" s="52" t="s">
        <v>32</v>
      </c>
      <c r="X12" s="52" t="s">
        <v>30</v>
      </c>
    </row>
    <row r="13" ht="15.75" customHeight="1">
      <c r="A13" s="53">
        <v>8.0</v>
      </c>
      <c r="B13" s="54" t="s">
        <v>273</v>
      </c>
      <c r="C13" s="57" t="s">
        <v>274</v>
      </c>
      <c r="D13" s="56">
        <f t="shared" si="3"/>
        <v>2.5</v>
      </c>
      <c r="E13" s="51" t="s">
        <v>30</v>
      </c>
      <c r="F13" s="52" t="s">
        <v>28</v>
      </c>
      <c r="G13" s="52" t="s">
        <v>32</v>
      </c>
      <c r="H13" s="52" t="s">
        <v>28</v>
      </c>
      <c r="I13" s="52" t="s">
        <v>32</v>
      </c>
      <c r="J13" s="52" t="s">
        <v>30</v>
      </c>
      <c r="K13" s="52" t="s">
        <v>32</v>
      </c>
      <c r="L13" s="52" t="s">
        <v>29</v>
      </c>
      <c r="M13" s="52" t="s">
        <v>28</v>
      </c>
      <c r="N13" s="52" t="s">
        <v>28</v>
      </c>
      <c r="O13" s="52" t="s">
        <v>32</v>
      </c>
      <c r="P13" s="52" t="s">
        <v>28</v>
      </c>
      <c r="Q13" s="52" t="s">
        <v>30</v>
      </c>
      <c r="R13" s="52" t="s">
        <v>30</v>
      </c>
      <c r="S13" s="52" t="s">
        <v>28</v>
      </c>
      <c r="T13" s="52" t="s">
        <v>31</v>
      </c>
      <c r="U13" s="52" t="s">
        <v>28</v>
      </c>
      <c r="V13" s="52" t="s">
        <v>32</v>
      </c>
      <c r="W13" s="52" t="s">
        <v>32</v>
      </c>
      <c r="X13" s="52" t="s">
        <v>31</v>
      </c>
    </row>
    <row r="14" ht="15.75" customHeight="1">
      <c r="A14" s="53">
        <v>9.0</v>
      </c>
      <c r="B14" s="54" t="s">
        <v>275</v>
      </c>
      <c r="C14" s="55" t="s">
        <v>276</v>
      </c>
      <c r="D14" s="56"/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 ht="15.75" customHeight="1">
      <c r="A15" s="53">
        <v>10.0</v>
      </c>
      <c r="B15" s="54" t="s">
        <v>277</v>
      </c>
      <c r="C15" s="55" t="s">
        <v>278</v>
      </c>
      <c r="D15" s="56">
        <f t="shared" ref="D15:D41" si="4">B70</f>
        <v>4.5</v>
      </c>
      <c r="E15" s="51" t="s">
        <v>29</v>
      </c>
      <c r="F15" s="52" t="s">
        <v>30</v>
      </c>
      <c r="G15" s="52" t="s">
        <v>30</v>
      </c>
      <c r="H15" s="52" t="s">
        <v>28</v>
      </c>
      <c r="I15" s="52" t="s">
        <v>29</v>
      </c>
      <c r="J15" s="52" t="s">
        <v>31</v>
      </c>
      <c r="K15" s="52" t="s">
        <v>30</v>
      </c>
      <c r="L15" s="52" t="s">
        <v>31</v>
      </c>
      <c r="M15" s="52" t="s">
        <v>31</v>
      </c>
      <c r="N15" s="52" t="s">
        <v>29</v>
      </c>
      <c r="O15" s="52" t="s">
        <v>32</v>
      </c>
      <c r="P15" s="52" t="s">
        <v>28</v>
      </c>
      <c r="Q15" s="52" t="s">
        <v>31</v>
      </c>
      <c r="R15" s="52" t="s">
        <v>28</v>
      </c>
      <c r="S15" s="52" t="s">
        <v>30</v>
      </c>
      <c r="T15" s="52" t="s">
        <v>28</v>
      </c>
      <c r="U15" s="52" t="s">
        <v>31</v>
      </c>
      <c r="V15" s="52" t="s">
        <v>29</v>
      </c>
      <c r="W15" s="52" t="s">
        <v>32</v>
      </c>
      <c r="X15" s="52" t="s">
        <v>28</v>
      </c>
    </row>
    <row r="16" ht="15.75" customHeight="1">
      <c r="A16" s="53">
        <v>11.0</v>
      </c>
      <c r="B16" s="54" t="s">
        <v>279</v>
      </c>
      <c r="C16" s="55" t="s">
        <v>280</v>
      </c>
      <c r="D16" s="56">
        <f t="shared" si="4"/>
        <v>2.5</v>
      </c>
      <c r="E16" s="51" t="s">
        <v>32</v>
      </c>
      <c r="F16" s="52" t="s">
        <v>28</v>
      </c>
      <c r="G16" s="52" t="s">
        <v>28</v>
      </c>
      <c r="H16" s="52" t="s">
        <v>28</v>
      </c>
      <c r="I16" s="52" t="s">
        <v>32</v>
      </c>
      <c r="J16" s="52" t="s">
        <v>31</v>
      </c>
      <c r="K16" s="52" t="s">
        <v>30</v>
      </c>
      <c r="L16" s="52" t="s">
        <v>28</v>
      </c>
      <c r="M16" s="52" t="s">
        <v>29</v>
      </c>
      <c r="N16" s="52" t="s">
        <v>29</v>
      </c>
      <c r="O16" s="52" t="s">
        <v>28</v>
      </c>
      <c r="P16" s="52" t="s">
        <v>28</v>
      </c>
      <c r="Q16" s="52" t="s">
        <v>30</v>
      </c>
      <c r="R16" s="52" t="s">
        <v>31</v>
      </c>
      <c r="S16" s="52" t="s">
        <v>30</v>
      </c>
      <c r="T16" s="52" t="s">
        <v>28</v>
      </c>
      <c r="U16" s="52" t="s">
        <v>30</v>
      </c>
      <c r="V16" s="52" t="s">
        <v>32</v>
      </c>
      <c r="W16" s="52" t="s">
        <v>31</v>
      </c>
      <c r="X16" s="52" t="s">
        <v>29</v>
      </c>
    </row>
    <row r="17" ht="15.75" customHeight="1">
      <c r="A17" s="53">
        <v>12.0</v>
      </c>
      <c r="B17" s="54" t="s">
        <v>281</v>
      </c>
      <c r="C17" s="55" t="s">
        <v>282</v>
      </c>
      <c r="D17" s="56">
        <f t="shared" si="4"/>
        <v>5.5</v>
      </c>
      <c r="E17" s="51" t="s">
        <v>30</v>
      </c>
      <c r="F17" s="52" t="s">
        <v>28</v>
      </c>
      <c r="G17" s="52" t="s">
        <v>30</v>
      </c>
      <c r="H17" s="52" t="s">
        <v>28</v>
      </c>
      <c r="I17" s="52" t="s">
        <v>30</v>
      </c>
      <c r="J17" s="52" t="s">
        <v>30</v>
      </c>
      <c r="K17" s="52" t="s">
        <v>29</v>
      </c>
      <c r="L17" s="52" t="s">
        <v>31</v>
      </c>
      <c r="M17" s="52" t="s">
        <v>28</v>
      </c>
      <c r="N17" s="52" t="s">
        <v>30</v>
      </c>
      <c r="O17" s="52" t="s">
        <v>32</v>
      </c>
      <c r="P17" s="52" t="s">
        <v>28</v>
      </c>
      <c r="Q17" s="52" t="s">
        <v>31</v>
      </c>
      <c r="R17" s="52" t="s">
        <v>32</v>
      </c>
      <c r="S17" s="52" t="s">
        <v>29</v>
      </c>
      <c r="T17" s="52" t="s">
        <v>28</v>
      </c>
      <c r="U17" s="52" t="s">
        <v>31</v>
      </c>
      <c r="V17" s="52" t="s">
        <v>28</v>
      </c>
      <c r="W17" s="52" t="s">
        <v>32</v>
      </c>
      <c r="X17" s="52" t="s">
        <v>28</v>
      </c>
    </row>
    <row r="18" ht="15.75" customHeight="1">
      <c r="A18" s="53">
        <v>13.0</v>
      </c>
      <c r="B18" s="54" t="s">
        <v>283</v>
      </c>
      <c r="C18" s="55" t="s">
        <v>284</v>
      </c>
      <c r="D18" s="56">
        <f t="shared" si="4"/>
        <v>4</v>
      </c>
      <c r="E18" s="51" t="s">
        <v>32</v>
      </c>
      <c r="F18" s="52" t="s">
        <v>29</v>
      </c>
      <c r="G18" s="52" t="s">
        <v>29</v>
      </c>
      <c r="H18" s="52" t="s">
        <v>28</v>
      </c>
      <c r="I18" s="52" t="s">
        <v>32</v>
      </c>
      <c r="J18" s="52" t="s">
        <v>28</v>
      </c>
      <c r="K18" s="52" t="s">
        <v>31</v>
      </c>
      <c r="L18" s="52" t="s">
        <v>30</v>
      </c>
      <c r="M18" s="52" t="s">
        <v>31</v>
      </c>
      <c r="N18" s="52" t="s">
        <v>30</v>
      </c>
      <c r="O18" s="52" t="s">
        <v>31</v>
      </c>
      <c r="P18" s="52" t="s">
        <v>28</v>
      </c>
      <c r="Q18" s="52" t="s">
        <v>31</v>
      </c>
      <c r="R18" s="52" t="s">
        <v>29</v>
      </c>
      <c r="S18" s="52" t="s">
        <v>31</v>
      </c>
      <c r="T18" s="52" t="s">
        <v>30</v>
      </c>
      <c r="U18" s="52" t="s">
        <v>31</v>
      </c>
      <c r="V18" s="52" t="s">
        <v>32</v>
      </c>
      <c r="W18" s="52" t="s">
        <v>28</v>
      </c>
      <c r="X18" s="52" t="s">
        <v>30</v>
      </c>
    </row>
    <row r="19" ht="15.75" customHeight="1">
      <c r="A19" s="53">
        <v>14.0</v>
      </c>
      <c r="B19" s="54" t="s">
        <v>285</v>
      </c>
      <c r="C19" s="55" t="s">
        <v>286</v>
      </c>
      <c r="D19" s="56">
        <f t="shared" si="4"/>
        <v>5</v>
      </c>
      <c r="E19" s="51" t="s">
        <v>31</v>
      </c>
      <c r="F19" s="52" t="s">
        <v>28</v>
      </c>
      <c r="G19" s="52" t="s">
        <v>32</v>
      </c>
      <c r="H19" s="52" t="s">
        <v>28</v>
      </c>
      <c r="I19" s="52" t="s">
        <v>32</v>
      </c>
      <c r="J19" s="52" t="s">
        <v>32</v>
      </c>
      <c r="K19" s="52" t="s">
        <v>30</v>
      </c>
      <c r="L19" s="52" t="s">
        <v>32</v>
      </c>
      <c r="M19" s="52" t="s">
        <v>28</v>
      </c>
      <c r="N19" s="52" t="s">
        <v>29</v>
      </c>
      <c r="O19" s="52" t="s">
        <v>32</v>
      </c>
      <c r="P19" s="52" t="s">
        <v>28</v>
      </c>
      <c r="Q19" s="52" t="s">
        <v>31</v>
      </c>
      <c r="R19" s="52" t="s">
        <v>31</v>
      </c>
      <c r="S19" s="52" t="s">
        <v>30</v>
      </c>
      <c r="T19" s="52" t="s">
        <v>32</v>
      </c>
      <c r="U19" s="52" t="s">
        <v>31</v>
      </c>
      <c r="V19" s="52" t="s">
        <v>31</v>
      </c>
      <c r="W19" s="52" t="s">
        <v>31</v>
      </c>
      <c r="X19" s="52" t="s">
        <v>29</v>
      </c>
    </row>
    <row r="20" ht="15.75" customHeight="1">
      <c r="A20" s="53">
        <v>15.0</v>
      </c>
      <c r="B20" s="54" t="s">
        <v>287</v>
      </c>
      <c r="C20" s="55" t="s">
        <v>288</v>
      </c>
      <c r="D20" s="56">
        <f t="shared" si="4"/>
        <v>7.5</v>
      </c>
      <c r="E20" s="51" t="s">
        <v>29</v>
      </c>
      <c r="F20" s="52" t="s">
        <v>28</v>
      </c>
      <c r="G20" s="52" t="s">
        <v>32</v>
      </c>
      <c r="H20" s="52" t="s">
        <v>28</v>
      </c>
      <c r="I20" s="52" t="s">
        <v>28</v>
      </c>
      <c r="J20" s="52" t="s">
        <v>29</v>
      </c>
      <c r="K20" s="52" t="s">
        <v>31</v>
      </c>
      <c r="L20" s="52" t="s">
        <v>31</v>
      </c>
      <c r="M20" s="52" t="s">
        <v>28</v>
      </c>
      <c r="N20" s="52" t="s">
        <v>30</v>
      </c>
      <c r="O20" s="52" t="s">
        <v>32</v>
      </c>
      <c r="P20" s="52" t="s">
        <v>28</v>
      </c>
      <c r="Q20" s="52" t="s">
        <v>31</v>
      </c>
      <c r="R20" s="52" t="s">
        <v>32</v>
      </c>
      <c r="S20" s="52" t="s">
        <v>30</v>
      </c>
      <c r="T20" s="52" t="s">
        <v>28</v>
      </c>
      <c r="U20" s="52" t="s">
        <v>31</v>
      </c>
      <c r="V20" s="52" t="s">
        <v>28</v>
      </c>
      <c r="W20" s="52" t="s">
        <v>31</v>
      </c>
      <c r="X20" s="52" t="s">
        <v>32</v>
      </c>
    </row>
    <row r="21" ht="15.75" customHeight="1">
      <c r="A21" s="53">
        <v>16.0</v>
      </c>
      <c r="B21" s="54" t="s">
        <v>289</v>
      </c>
      <c r="C21" s="55" t="s">
        <v>290</v>
      </c>
      <c r="D21" s="56">
        <f t="shared" si="4"/>
        <v>5</v>
      </c>
      <c r="E21" s="51" t="s">
        <v>30</v>
      </c>
      <c r="F21" s="52" t="s">
        <v>30</v>
      </c>
      <c r="G21" s="52" t="s">
        <v>28</v>
      </c>
      <c r="H21" s="52" t="s">
        <v>28</v>
      </c>
      <c r="I21" s="52" t="s">
        <v>28</v>
      </c>
      <c r="J21" s="52" t="s">
        <v>31</v>
      </c>
      <c r="K21" s="52" t="s">
        <v>29</v>
      </c>
      <c r="L21" s="52" t="s">
        <v>31</v>
      </c>
      <c r="M21" s="52" t="s">
        <v>32</v>
      </c>
      <c r="N21" s="52" t="s">
        <v>30</v>
      </c>
      <c r="O21" s="52" t="s">
        <v>32</v>
      </c>
      <c r="P21" s="52" t="s">
        <v>28</v>
      </c>
      <c r="Q21" s="52" t="s">
        <v>31</v>
      </c>
      <c r="R21" s="52" t="s">
        <v>31</v>
      </c>
      <c r="S21" s="52" t="s">
        <v>28</v>
      </c>
      <c r="T21" s="52" t="s">
        <v>28</v>
      </c>
      <c r="U21" s="52" t="s">
        <v>31</v>
      </c>
      <c r="V21" s="52" t="s">
        <v>31</v>
      </c>
      <c r="W21" s="52" t="s">
        <v>31</v>
      </c>
      <c r="X21" s="52" t="s">
        <v>28</v>
      </c>
    </row>
    <row r="22" ht="15.75" customHeight="1">
      <c r="A22" s="53">
        <v>17.0</v>
      </c>
      <c r="B22" s="54" t="s">
        <v>291</v>
      </c>
      <c r="C22" s="55" t="s">
        <v>292</v>
      </c>
      <c r="D22" s="56">
        <f t="shared" si="4"/>
        <v>4.5</v>
      </c>
      <c r="E22" s="51" t="s">
        <v>29</v>
      </c>
      <c r="F22" s="52" t="s">
        <v>28</v>
      </c>
      <c r="G22" s="52" t="s">
        <v>28</v>
      </c>
      <c r="H22" s="52" t="s">
        <v>28</v>
      </c>
      <c r="I22" s="52" t="s">
        <v>32</v>
      </c>
      <c r="J22" s="52" t="s">
        <v>30</v>
      </c>
      <c r="K22" s="52" t="s">
        <v>31</v>
      </c>
      <c r="L22" s="52" t="s">
        <v>28</v>
      </c>
      <c r="M22" s="52" t="s">
        <v>30</v>
      </c>
      <c r="N22" s="52" t="s">
        <v>29</v>
      </c>
      <c r="O22" s="52" t="s">
        <v>32</v>
      </c>
      <c r="P22" s="52" t="s">
        <v>28</v>
      </c>
      <c r="Q22" s="52" t="s">
        <v>31</v>
      </c>
      <c r="R22" s="52" t="s">
        <v>31</v>
      </c>
      <c r="S22" s="52" t="s">
        <v>29</v>
      </c>
      <c r="T22" s="52" t="s">
        <v>30</v>
      </c>
      <c r="U22" s="52" t="s">
        <v>31</v>
      </c>
      <c r="V22" s="52" t="s">
        <v>28</v>
      </c>
      <c r="W22" s="52" t="s">
        <v>31</v>
      </c>
      <c r="X22" s="52" t="s">
        <v>28</v>
      </c>
    </row>
    <row r="23" ht="15.75" customHeight="1">
      <c r="A23" s="53">
        <v>18.0</v>
      </c>
      <c r="B23" s="54" t="s">
        <v>293</v>
      </c>
      <c r="C23" s="55" t="s">
        <v>294</v>
      </c>
      <c r="D23" s="56">
        <f t="shared" si="4"/>
        <v>6</v>
      </c>
      <c r="E23" s="51" t="s">
        <v>28</v>
      </c>
      <c r="F23" s="52" t="s">
        <v>28</v>
      </c>
      <c r="G23" s="52" t="s">
        <v>31</v>
      </c>
      <c r="H23" s="52" t="s">
        <v>28</v>
      </c>
      <c r="I23" s="52" t="s">
        <v>29</v>
      </c>
      <c r="J23" s="52" t="s">
        <v>29</v>
      </c>
      <c r="K23" s="52" t="s">
        <v>31</v>
      </c>
      <c r="L23" s="52" t="s">
        <v>31</v>
      </c>
      <c r="M23" s="52" t="s">
        <v>28</v>
      </c>
      <c r="N23" s="52" t="s">
        <v>30</v>
      </c>
      <c r="O23" s="52" t="s">
        <v>32</v>
      </c>
      <c r="P23" s="52" t="s">
        <v>28</v>
      </c>
      <c r="Q23" s="52" t="s">
        <v>31</v>
      </c>
      <c r="R23" s="52" t="s">
        <v>31</v>
      </c>
      <c r="S23" s="52" t="s">
        <v>30</v>
      </c>
      <c r="T23" s="52" t="s">
        <v>30</v>
      </c>
      <c r="U23" s="52" t="s">
        <v>31</v>
      </c>
      <c r="V23" s="52" t="s">
        <v>32</v>
      </c>
      <c r="W23" s="52" t="s">
        <v>31</v>
      </c>
      <c r="X23" s="52" t="s">
        <v>32</v>
      </c>
    </row>
    <row r="24" ht="15.75" customHeight="1">
      <c r="A24" s="53">
        <v>19.0</v>
      </c>
      <c r="B24" s="54" t="s">
        <v>295</v>
      </c>
      <c r="C24" s="55" t="s">
        <v>296</v>
      </c>
      <c r="D24" s="56">
        <f t="shared" si="4"/>
        <v>4.5</v>
      </c>
      <c r="E24" s="51" t="s">
        <v>28</v>
      </c>
      <c r="F24" s="52" t="s">
        <v>29</v>
      </c>
      <c r="G24" s="52" t="s">
        <v>28</v>
      </c>
      <c r="H24" s="52" t="s">
        <v>28</v>
      </c>
      <c r="I24" s="52" t="s">
        <v>32</v>
      </c>
      <c r="J24" s="52" t="s">
        <v>30</v>
      </c>
      <c r="K24" s="52" t="s">
        <v>31</v>
      </c>
      <c r="L24" s="52" t="s">
        <v>31</v>
      </c>
      <c r="M24" s="52" t="s">
        <v>28</v>
      </c>
      <c r="N24" s="52" t="s">
        <v>30</v>
      </c>
      <c r="O24" s="52" t="s">
        <v>30</v>
      </c>
      <c r="P24" s="52" t="s">
        <v>28</v>
      </c>
      <c r="Q24" s="52" t="s">
        <v>31</v>
      </c>
      <c r="R24" s="52" t="s">
        <v>29</v>
      </c>
      <c r="S24" s="52" t="s">
        <v>29</v>
      </c>
      <c r="T24" s="52" t="s">
        <v>31</v>
      </c>
      <c r="U24" s="52" t="s">
        <v>31</v>
      </c>
      <c r="V24" s="52" t="s">
        <v>31</v>
      </c>
      <c r="W24" s="52" t="s">
        <v>28</v>
      </c>
      <c r="X24" s="52" t="s">
        <v>28</v>
      </c>
    </row>
    <row r="25" ht="15.75" customHeight="1">
      <c r="A25" s="53">
        <v>20.0</v>
      </c>
      <c r="B25" s="54" t="s">
        <v>297</v>
      </c>
      <c r="C25" s="55" t="s">
        <v>298</v>
      </c>
      <c r="D25" s="56">
        <f t="shared" si="4"/>
        <v>4.5</v>
      </c>
      <c r="E25" s="51" t="s">
        <v>30</v>
      </c>
      <c r="F25" s="52" t="s">
        <v>28</v>
      </c>
      <c r="G25" s="52" t="s">
        <v>31</v>
      </c>
      <c r="H25" s="52" t="s">
        <v>28</v>
      </c>
      <c r="I25" s="52" t="s">
        <v>29</v>
      </c>
      <c r="J25" s="52" t="s">
        <v>29</v>
      </c>
      <c r="K25" s="52" t="s">
        <v>28</v>
      </c>
      <c r="L25" s="52" t="s">
        <v>28</v>
      </c>
      <c r="M25" s="52" t="s">
        <v>28</v>
      </c>
      <c r="N25" s="52" t="s">
        <v>30</v>
      </c>
      <c r="O25" s="52" t="s">
        <v>32</v>
      </c>
      <c r="P25" s="52" t="s">
        <v>28</v>
      </c>
      <c r="Q25" s="52" t="s">
        <v>31</v>
      </c>
      <c r="R25" s="52" t="s">
        <v>31</v>
      </c>
      <c r="S25" s="52" t="s">
        <v>30</v>
      </c>
      <c r="T25" s="52" t="s">
        <v>28</v>
      </c>
      <c r="U25" s="52" t="s">
        <v>28</v>
      </c>
      <c r="V25" s="52" t="s">
        <v>32</v>
      </c>
      <c r="W25" s="52" t="s">
        <v>29</v>
      </c>
      <c r="X25" s="52" t="s">
        <v>30</v>
      </c>
    </row>
    <row r="26" ht="15.75" customHeight="1">
      <c r="A26" s="53">
        <v>21.0</v>
      </c>
      <c r="B26" s="54" t="s">
        <v>299</v>
      </c>
      <c r="C26" s="55" t="s">
        <v>300</v>
      </c>
      <c r="D26" s="56">
        <f t="shared" si="4"/>
        <v>4</v>
      </c>
      <c r="E26" s="51" t="s">
        <v>28</v>
      </c>
      <c r="F26" s="52" t="s">
        <v>29</v>
      </c>
      <c r="G26" s="52" t="s">
        <v>32</v>
      </c>
      <c r="H26" s="52" t="s">
        <v>28</v>
      </c>
      <c r="I26" s="52" t="s">
        <v>32</v>
      </c>
      <c r="J26" s="52" t="s">
        <v>28</v>
      </c>
      <c r="K26" s="52" t="s">
        <v>31</v>
      </c>
      <c r="L26" s="52" t="s">
        <v>30</v>
      </c>
      <c r="M26" s="52" t="s">
        <v>28</v>
      </c>
      <c r="N26" s="52" t="s">
        <v>30</v>
      </c>
      <c r="O26" s="52" t="s">
        <v>32</v>
      </c>
      <c r="P26" s="52" t="s">
        <v>28</v>
      </c>
      <c r="Q26" s="52" t="s">
        <v>30</v>
      </c>
      <c r="R26" s="52" t="s">
        <v>31</v>
      </c>
      <c r="S26" s="52" t="s">
        <v>29</v>
      </c>
      <c r="T26" s="52" t="s">
        <v>29</v>
      </c>
      <c r="U26" s="52" t="s">
        <v>31</v>
      </c>
      <c r="V26" s="52" t="s">
        <v>28</v>
      </c>
      <c r="W26" s="52" t="s">
        <v>32</v>
      </c>
      <c r="X26" s="52" t="s">
        <v>29</v>
      </c>
    </row>
    <row r="27" ht="15.75" customHeight="1">
      <c r="A27" s="53">
        <v>22.0</v>
      </c>
      <c r="B27" s="54" t="s">
        <v>301</v>
      </c>
      <c r="C27" s="55" t="s">
        <v>302</v>
      </c>
      <c r="D27" s="56">
        <f t="shared" si="4"/>
        <v>6</v>
      </c>
      <c r="E27" s="51" t="s">
        <v>28</v>
      </c>
      <c r="F27" s="52" t="s">
        <v>28</v>
      </c>
      <c r="G27" s="52" t="s">
        <v>31</v>
      </c>
      <c r="H27" s="52" t="s">
        <v>28</v>
      </c>
      <c r="I27" s="52" t="s">
        <v>28</v>
      </c>
      <c r="J27" s="52" t="s">
        <v>32</v>
      </c>
      <c r="K27" s="52" t="s">
        <v>31</v>
      </c>
      <c r="L27" s="52" t="s">
        <v>31</v>
      </c>
      <c r="M27" s="52" t="s">
        <v>28</v>
      </c>
      <c r="N27" s="52" t="s">
        <v>30</v>
      </c>
      <c r="O27" s="52" t="s">
        <v>32</v>
      </c>
      <c r="P27" s="52" t="s">
        <v>28</v>
      </c>
      <c r="Q27" s="52" t="s">
        <v>31</v>
      </c>
      <c r="R27" s="52" t="s">
        <v>31</v>
      </c>
      <c r="S27" s="52" t="s">
        <v>30</v>
      </c>
      <c r="T27" s="52" t="s">
        <v>29</v>
      </c>
      <c r="U27" s="52" t="s">
        <v>28</v>
      </c>
      <c r="V27" s="52" t="s">
        <v>28</v>
      </c>
      <c r="W27" s="52" t="s">
        <v>30</v>
      </c>
      <c r="X27" s="52" t="s">
        <v>30</v>
      </c>
    </row>
    <row r="28" ht="15.75" customHeight="1">
      <c r="A28" s="53">
        <v>23.0</v>
      </c>
      <c r="B28" s="54" t="s">
        <v>303</v>
      </c>
      <c r="C28" s="55" t="s">
        <v>304</v>
      </c>
      <c r="D28" s="56">
        <f t="shared" si="4"/>
        <v>4</v>
      </c>
      <c r="E28" s="51" t="s">
        <v>29</v>
      </c>
      <c r="F28" s="52" t="s">
        <v>28</v>
      </c>
      <c r="G28" s="52" t="s">
        <v>29</v>
      </c>
      <c r="H28" s="52" t="s">
        <v>28</v>
      </c>
      <c r="I28" s="52" t="s">
        <v>32</v>
      </c>
      <c r="J28" s="52"/>
      <c r="K28" s="52" t="s">
        <v>29</v>
      </c>
      <c r="L28" s="52" t="s">
        <v>30</v>
      </c>
      <c r="M28" s="52" t="s">
        <v>31</v>
      </c>
      <c r="N28" s="52"/>
      <c r="O28" s="52" t="s">
        <v>32</v>
      </c>
      <c r="P28" s="52" t="s">
        <v>28</v>
      </c>
      <c r="Q28" s="52" t="s">
        <v>31</v>
      </c>
      <c r="R28" s="52"/>
      <c r="S28" s="52" t="s">
        <v>30</v>
      </c>
      <c r="T28" s="52"/>
      <c r="U28" s="52" t="s">
        <v>31</v>
      </c>
      <c r="V28" s="52" t="s">
        <v>32</v>
      </c>
      <c r="W28" s="52" t="s">
        <v>32</v>
      </c>
      <c r="X28" s="52" t="s">
        <v>28</v>
      </c>
    </row>
    <row r="29" ht="15.75" customHeight="1">
      <c r="A29" s="53">
        <v>24.0</v>
      </c>
      <c r="B29" s="54" t="s">
        <v>305</v>
      </c>
      <c r="C29" s="55" t="s">
        <v>306</v>
      </c>
      <c r="D29" s="56">
        <f t="shared" si="4"/>
        <v>3</v>
      </c>
      <c r="E29" s="51" t="s">
        <v>28</v>
      </c>
      <c r="F29" s="52" t="s">
        <v>28</v>
      </c>
      <c r="G29" s="52" t="s">
        <v>31</v>
      </c>
      <c r="H29" s="52" t="s">
        <v>28</v>
      </c>
      <c r="I29" s="52" t="s">
        <v>29</v>
      </c>
      <c r="J29" s="52" t="s">
        <v>28</v>
      </c>
      <c r="K29" s="52" t="s">
        <v>30</v>
      </c>
      <c r="L29" s="52" t="s">
        <v>28</v>
      </c>
      <c r="M29" s="52" t="s">
        <v>28</v>
      </c>
      <c r="N29" s="52" t="s">
        <v>32</v>
      </c>
      <c r="O29" s="52" t="s">
        <v>32</v>
      </c>
      <c r="P29" s="52" t="s">
        <v>28</v>
      </c>
      <c r="Q29" s="52" t="s">
        <v>30</v>
      </c>
      <c r="R29" s="52" t="s">
        <v>28</v>
      </c>
      <c r="S29" s="52" t="s">
        <v>28</v>
      </c>
      <c r="T29" s="52" t="s">
        <v>28</v>
      </c>
      <c r="U29" s="52" t="s">
        <v>28</v>
      </c>
      <c r="V29" s="52" t="s">
        <v>28</v>
      </c>
      <c r="W29" s="52" t="s">
        <v>28</v>
      </c>
      <c r="X29" s="52" t="s">
        <v>28</v>
      </c>
    </row>
    <row r="30" ht="15.75" customHeight="1">
      <c r="A30" s="53">
        <v>25.0</v>
      </c>
      <c r="B30" s="54" t="s">
        <v>307</v>
      </c>
      <c r="C30" s="55" t="s">
        <v>308</v>
      </c>
      <c r="D30" s="56">
        <f t="shared" si="4"/>
        <v>5.5</v>
      </c>
      <c r="E30" s="51" t="s">
        <v>28</v>
      </c>
      <c r="F30" s="52" t="s">
        <v>28</v>
      </c>
      <c r="G30" s="52" t="s">
        <v>30</v>
      </c>
      <c r="H30" s="52" t="s">
        <v>28</v>
      </c>
      <c r="I30" s="52" t="s">
        <v>30</v>
      </c>
      <c r="J30" s="52" t="s">
        <v>28</v>
      </c>
      <c r="K30" s="52" t="s">
        <v>29</v>
      </c>
      <c r="L30" s="52" t="s">
        <v>31</v>
      </c>
      <c r="M30" s="52" t="s">
        <v>28</v>
      </c>
      <c r="N30" s="52" t="s">
        <v>29</v>
      </c>
      <c r="O30" s="52" t="s">
        <v>32</v>
      </c>
      <c r="P30" s="52" t="s">
        <v>28</v>
      </c>
      <c r="Q30" s="52" t="s">
        <v>31</v>
      </c>
      <c r="R30" s="52" t="s">
        <v>31</v>
      </c>
      <c r="S30" s="52" t="s">
        <v>30</v>
      </c>
      <c r="T30" s="52" t="s">
        <v>29</v>
      </c>
      <c r="U30" s="52" t="s">
        <v>31</v>
      </c>
      <c r="V30" s="52" t="s">
        <v>28</v>
      </c>
      <c r="W30" s="52" t="s">
        <v>30</v>
      </c>
      <c r="X30" s="52" t="s">
        <v>28</v>
      </c>
    </row>
    <row r="31" ht="15.75" customHeight="1">
      <c r="A31" s="53">
        <v>26.0</v>
      </c>
      <c r="B31" s="54" t="s">
        <v>309</v>
      </c>
      <c r="C31" s="55" t="s">
        <v>310</v>
      </c>
      <c r="D31" s="56">
        <f t="shared" si="4"/>
        <v>5</v>
      </c>
      <c r="E31" s="51" t="s">
        <v>29</v>
      </c>
      <c r="F31" s="52" t="s">
        <v>28</v>
      </c>
      <c r="G31" s="52" t="s">
        <v>28</v>
      </c>
      <c r="H31" s="52" t="s">
        <v>28</v>
      </c>
      <c r="I31" s="52" t="s">
        <v>29</v>
      </c>
      <c r="J31" s="52" t="s">
        <v>29</v>
      </c>
      <c r="K31" s="52" t="s">
        <v>31</v>
      </c>
      <c r="L31" s="52" t="s">
        <v>31</v>
      </c>
      <c r="M31" s="52" t="s">
        <v>28</v>
      </c>
      <c r="N31" s="52" t="s">
        <v>30</v>
      </c>
      <c r="O31" s="52" t="s">
        <v>32</v>
      </c>
      <c r="P31" s="52" t="s">
        <v>28</v>
      </c>
      <c r="Q31" s="52" t="s">
        <v>31</v>
      </c>
      <c r="R31" s="52" t="s">
        <v>28</v>
      </c>
      <c r="S31" s="52" t="s">
        <v>31</v>
      </c>
      <c r="T31" s="52" t="s">
        <v>31</v>
      </c>
      <c r="U31" s="52" t="s">
        <v>28</v>
      </c>
      <c r="V31" s="52" t="s">
        <v>32</v>
      </c>
      <c r="W31" s="52" t="s">
        <v>28</v>
      </c>
      <c r="X31" s="52" t="s">
        <v>31</v>
      </c>
    </row>
    <row r="32" ht="15.75" customHeight="1">
      <c r="A32" s="53">
        <v>27.0</v>
      </c>
      <c r="B32" s="54" t="s">
        <v>311</v>
      </c>
      <c r="C32" s="55" t="s">
        <v>312</v>
      </c>
      <c r="D32" s="56">
        <f t="shared" si="4"/>
        <v>4</v>
      </c>
      <c r="E32" s="51" t="s">
        <v>30</v>
      </c>
      <c r="F32" s="52" t="s">
        <v>28</v>
      </c>
      <c r="G32" s="52" t="s">
        <v>31</v>
      </c>
      <c r="H32" s="52" t="s">
        <v>28</v>
      </c>
      <c r="I32" s="52" t="s">
        <v>29</v>
      </c>
      <c r="J32" s="52" t="s">
        <v>29</v>
      </c>
      <c r="K32" s="52" t="s">
        <v>28</v>
      </c>
      <c r="L32" s="52" t="s">
        <v>28</v>
      </c>
      <c r="M32" s="52" t="s">
        <v>28</v>
      </c>
      <c r="N32" s="52" t="s">
        <v>30</v>
      </c>
      <c r="O32" s="52" t="s">
        <v>32</v>
      </c>
      <c r="P32" s="52" t="s">
        <v>28</v>
      </c>
      <c r="Q32" s="52" t="s">
        <v>31</v>
      </c>
      <c r="R32" s="52" t="s">
        <v>30</v>
      </c>
      <c r="S32" s="52" t="s">
        <v>31</v>
      </c>
      <c r="T32" s="52" t="s">
        <v>28</v>
      </c>
      <c r="U32" s="52" t="s">
        <v>28</v>
      </c>
      <c r="V32" s="52" t="s">
        <v>32</v>
      </c>
      <c r="W32" s="52" t="s">
        <v>29</v>
      </c>
      <c r="X32" s="52" t="s">
        <v>30</v>
      </c>
    </row>
    <row r="33" ht="15.75" customHeight="1">
      <c r="A33" s="53">
        <v>28.0</v>
      </c>
      <c r="B33" s="54" t="s">
        <v>313</v>
      </c>
      <c r="C33" s="55" t="s">
        <v>314</v>
      </c>
      <c r="D33" s="56">
        <f t="shared" si="4"/>
        <v>4</v>
      </c>
      <c r="E33" s="51" t="s">
        <v>29</v>
      </c>
      <c r="F33" s="52" t="s">
        <v>28</v>
      </c>
      <c r="G33" s="52" t="s">
        <v>31</v>
      </c>
      <c r="H33" s="52" t="s">
        <v>28</v>
      </c>
      <c r="I33" s="52" t="s">
        <v>30</v>
      </c>
      <c r="J33" s="52" t="s">
        <v>29</v>
      </c>
      <c r="K33" s="52" t="s">
        <v>30</v>
      </c>
      <c r="L33" s="52" t="s">
        <v>28</v>
      </c>
      <c r="M33" s="52" t="s">
        <v>31</v>
      </c>
      <c r="N33" s="52" t="s">
        <v>28</v>
      </c>
      <c r="O33" s="52" t="s">
        <v>32</v>
      </c>
      <c r="P33" s="52" t="s">
        <v>28</v>
      </c>
      <c r="Q33" s="52" t="s">
        <v>30</v>
      </c>
      <c r="R33" s="52" t="s">
        <v>28</v>
      </c>
      <c r="S33" s="52" t="s">
        <v>31</v>
      </c>
      <c r="T33" s="52" t="s">
        <v>31</v>
      </c>
      <c r="U33" s="52" t="s">
        <v>31</v>
      </c>
      <c r="V33" s="52" t="s">
        <v>31</v>
      </c>
      <c r="W33" s="52" t="s">
        <v>31</v>
      </c>
      <c r="X33" s="52" t="s">
        <v>31</v>
      </c>
    </row>
    <row r="34" ht="15.75" customHeight="1">
      <c r="A34" s="53">
        <v>29.0</v>
      </c>
      <c r="B34" s="54" t="s">
        <v>315</v>
      </c>
      <c r="C34" s="57" t="s">
        <v>316</v>
      </c>
      <c r="D34" s="56">
        <f t="shared" si="4"/>
        <v>4.5</v>
      </c>
      <c r="E34" s="51" t="s">
        <v>32</v>
      </c>
      <c r="F34" s="52" t="s">
        <v>29</v>
      </c>
      <c r="G34" s="52" t="s">
        <v>32</v>
      </c>
      <c r="H34" s="52" t="s">
        <v>28</v>
      </c>
      <c r="I34" s="52" t="s">
        <v>31</v>
      </c>
      <c r="J34" s="52" t="s">
        <v>31</v>
      </c>
      <c r="K34" s="52" t="s">
        <v>29</v>
      </c>
      <c r="L34" s="52" t="s">
        <v>31</v>
      </c>
      <c r="M34" s="52" t="s">
        <v>28</v>
      </c>
      <c r="N34" s="52" t="s">
        <v>30</v>
      </c>
      <c r="O34" s="52" t="s">
        <v>32</v>
      </c>
      <c r="P34" s="52" t="s">
        <v>28</v>
      </c>
      <c r="Q34" s="52" t="s">
        <v>30</v>
      </c>
      <c r="R34" s="52" t="s">
        <v>29</v>
      </c>
      <c r="S34" s="52" t="s">
        <v>30</v>
      </c>
      <c r="T34" s="52" t="s">
        <v>32</v>
      </c>
      <c r="U34" s="52" t="s">
        <v>31</v>
      </c>
      <c r="V34" s="52" t="s">
        <v>31</v>
      </c>
      <c r="W34" s="52" t="s">
        <v>32</v>
      </c>
      <c r="X34" s="52" t="s">
        <v>28</v>
      </c>
    </row>
    <row r="35" ht="15.75" customHeight="1">
      <c r="A35" s="53">
        <v>30.0</v>
      </c>
      <c r="B35" s="54" t="s">
        <v>317</v>
      </c>
      <c r="C35" s="55" t="s">
        <v>318</v>
      </c>
      <c r="D35" s="56">
        <f t="shared" si="4"/>
        <v>3.5</v>
      </c>
      <c r="E35" s="51" t="s">
        <v>28</v>
      </c>
      <c r="F35" s="52" t="s">
        <v>29</v>
      </c>
      <c r="G35" s="52" t="s">
        <v>31</v>
      </c>
      <c r="H35" s="52" t="s">
        <v>32</v>
      </c>
      <c r="I35" s="52" t="s">
        <v>30</v>
      </c>
      <c r="J35" s="52" t="s">
        <v>28</v>
      </c>
      <c r="K35" s="52" t="s">
        <v>31</v>
      </c>
      <c r="L35" s="52" t="s">
        <v>28</v>
      </c>
      <c r="M35" s="52" t="s">
        <v>29</v>
      </c>
      <c r="N35" s="52" t="s">
        <v>29</v>
      </c>
      <c r="O35" s="52" t="s">
        <v>32</v>
      </c>
      <c r="P35" s="52" t="s">
        <v>28</v>
      </c>
      <c r="Q35" s="52" t="s">
        <v>31</v>
      </c>
      <c r="R35" s="52" t="s">
        <v>31</v>
      </c>
      <c r="S35" s="52" t="s">
        <v>30</v>
      </c>
      <c r="T35" s="52" t="s">
        <v>29</v>
      </c>
      <c r="U35" s="52" t="s">
        <v>31</v>
      </c>
      <c r="V35" s="52" t="s">
        <v>28</v>
      </c>
      <c r="W35" s="52" t="s">
        <v>29</v>
      </c>
      <c r="X35" s="52" t="s">
        <v>31</v>
      </c>
    </row>
    <row r="36" ht="15.75" customHeight="1">
      <c r="A36" s="53">
        <v>31.0</v>
      </c>
      <c r="B36" s="54" t="s">
        <v>319</v>
      </c>
      <c r="C36" s="55" t="s">
        <v>320</v>
      </c>
      <c r="D36" s="56">
        <f t="shared" si="4"/>
        <v>3.5</v>
      </c>
      <c r="E36" s="51" t="s">
        <v>31</v>
      </c>
      <c r="F36" s="52" t="s">
        <v>28</v>
      </c>
      <c r="G36" s="52" t="s">
        <v>30</v>
      </c>
      <c r="H36" s="52" t="s">
        <v>32</v>
      </c>
      <c r="I36" s="52" t="s">
        <v>32</v>
      </c>
      <c r="J36" s="52" t="s">
        <v>31</v>
      </c>
      <c r="K36" s="52" t="s">
        <v>32</v>
      </c>
      <c r="L36" s="52" t="s">
        <v>31</v>
      </c>
      <c r="M36" s="52" t="s">
        <v>29</v>
      </c>
      <c r="N36" s="52" t="s">
        <v>29</v>
      </c>
      <c r="O36" s="52" t="s">
        <v>31</v>
      </c>
      <c r="P36" s="52" t="s">
        <v>28</v>
      </c>
      <c r="Q36" s="52" t="s">
        <v>31</v>
      </c>
      <c r="R36" s="52" t="s">
        <v>28</v>
      </c>
      <c r="S36" s="52" t="s">
        <v>29</v>
      </c>
      <c r="T36" s="52" t="s">
        <v>31</v>
      </c>
      <c r="U36" s="52" t="s">
        <v>31</v>
      </c>
      <c r="V36" s="52" t="s">
        <v>28</v>
      </c>
      <c r="W36" s="52" t="s">
        <v>31</v>
      </c>
      <c r="X36" s="52" t="s">
        <v>32</v>
      </c>
    </row>
    <row r="37" ht="15.75" customHeight="1">
      <c r="A37" s="59">
        <v>32.0</v>
      </c>
      <c r="B37" s="60" t="s">
        <v>321</v>
      </c>
      <c r="C37" s="55" t="s">
        <v>322</v>
      </c>
      <c r="D37" s="56">
        <f t="shared" si="4"/>
        <v>6.5</v>
      </c>
      <c r="E37" s="51" t="s">
        <v>28</v>
      </c>
      <c r="F37" s="52" t="s">
        <v>28</v>
      </c>
      <c r="G37" s="52" t="s">
        <v>29</v>
      </c>
      <c r="H37" s="52" t="s">
        <v>28</v>
      </c>
      <c r="I37" s="52" t="s">
        <v>28</v>
      </c>
      <c r="J37" s="52" t="s">
        <v>29</v>
      </c>
      <c r="K37" s="52" t="s">
        <v>31</v>
      </c>
      <c r="L37" s="52" t="s">
        <v>31</v>
      </c>
      <c r="M37" s="52" t="s">
        <v>28</v>
      </c>
      <c r="N37" s="52" t="s">
        <v>30</v>
      </c>
      <c r="O37" s="52" t="s">
        <v>32</v>
      </c>
      <c r="P37" s="52" t="s">
        <v>28</v>
      </c>
      <c r="Q37" s="52" t="s">
        <v>31</v>
      </c>
      <c r="R37" s="52" t="s">
        <v>30</v>
      </c>
      <c r="S37" s="52" t="s">
        <v>30</v>
      </c>
      <c r="T37" s="52" t="s">
        <v>29</v>
      </c>
      <c r="U37" s="52" t="s">
        <v>31</v>
      </c>
      <c r="V37" s="52" t="s">
        <v>28</v>
      </c>
      <c r="W37" s="52" t="s">
        <v>31</v>
      </c>
      <c r="X37" s="52" t="s">
        <v>28</v>
      </c>
    </row>
    <row r="38" ht="15.75" customHeight="1">
      <c r="A38" s="59">
        <v>33.0</v>
      </c>
      <c r="B38" s="60" t="s">
        <v>323</v>
      </c>
      <c r="C38" s="55" t="s">
        <v>324</v>
      </c>
      <c r="D38" s="56">
        <f t="shared" si="4"/>
        <v>6.5</v>
      </c>
      <c r="E38" s="51" t="s">
        <v>29</v>
      </c>
      <c r="F38" s="52" t="s">
        <v>28</v>
      </c>
      <c r="G38" s="52" t="s">
        <v>29</v>
      </c>
      <c r="H38" s="52" t="s">
        <v>28</v>
      </c>
      <c r="I38" s="52" t="s">
        <v>28</v>
      </c>
      <c r="J38" s="52" t="s">
        <v>29</v>
      </c>
      <c r="K38" s="52" t="s">
        <v>31</v>
      </c>
      <c r="L38" s="52" t="s">
        <v>31</v>
      </c>
      <c r="M38" s="52" t="s">
        <v>28</v>
      </c>
      <c r="N38" s="52" t="s">
        <v>32</v>
      </c>
      <c r="O38" s="52" t="s">
        <v>32</v>
      </c>
      <c r="P38" s="52" t="s">
        <v>28</v>
      </c>
      <c r="Q38" s="52" t="s">
        <v>31</v>
      </c>
      <c r="R38" s="52" t="s">
        <v>31</v>
      </c>
      <c r="S38" s="52" t="s">
        <v>30</v>
      </c>
      <c r="T38" s="52" t="s">
        <v>28</v>
      </c>
      <c r="U38" s="52" t="s">
        <v>31</v>
      </c>
      <c r="V38" s="52" t="s">
        <v>28</v>
      </c>
      <c r="W38" s="52" t="s">
        <v>31</v>
      </c>
      <c r="X38" s="52" t="s">
        <v>32</v>
      </c>
    </row>
    <row r="39" ht="15.75" customHeight="1">
      <c r="A39" s="59">
        <v>34.0</v>
      </c>
      <c r="B39" s="60" t="s">
        <v>325</v>
      </c>
      <c r="C39" s="57" t="s">
        <v>326</v>
      </c>
      <c r="D39" s="56">
        <f t="shared" si="4"/>
        <v>4</v>
      </c>
      <c r="E39" s="51" t="s">
        <v>29</v>
      </c>
      <c r="F39" s="52" t="s">
        <v>28</v>
      </c>
      <c r="G39" s="52" t="s">
        <v>31</v>
      </c>
      <c r="H39" s="52" t="s">
        <v>28</v>
      </c>
      <c r="I39" s="52" t="s">
        <v>32</v>
      </c>
      <c r="J39" s="52" t="s">
        <v>28</v>
      </c>
      <c r="K39" s="52" t="s">
        <v>31</v>
      </c>
      <c r="L39" s="52" t="s">
        <v>28</v>
      </c>
      <c r="M39" s="52" t="s">
        <v>28</v>
      </c>
      <c r="N39" s="52" t="s">
        <v>30</v>
      </c>
      <c r="O39" s="52" t="s">
        <v>31</v>
      </c>
      <c r="P39" s="52" t="s">
        <v>30</v>
      </c>
      <c r="Q39" s="52" t="s">
        <v>30</v>
      </c>
      <c r="R39" s="52" t="s">
        <v>31</v>
      </c>
      <c r="S39" s="52" t="s">
        <v>31</v>
      </c>
      <c r="T39" s="52" t="s">
        <v>30</v>
      </c>
      <c r="U39" s="52" t="s">
        <v>28</v>
      </c>
      <c r="V39" s="52" t="s">
        <v>28</v>
      </c>
      <c r="W39" s="52" t="s">
        <v>32</v>
      </c>
      <c r="X39" s="52" t="s">
        <v>30</v>
      </c>
    </row>
    <row r="40" ht="15.75" customHeight="1">
      <c r="A40" s="61">
        <v>35.0</v>
      </c>
      <c r="B40" s="62" t="s">
        <v>327</v>
      </c>
      <c r="C40" s="63" t="s">
        <v>328</v>
      </c>
      <c r="D40" s="64">
        <f t="shared" si="4"/>
        <v>5.5</v>
      </c>
      <c r="E40" s="51" t="s">
        <v>30</v>
      </c>
      <c r="F40" s="52" t="s">
        <v>28</v>
      </c>
      <c r="G40" s="52" t="s">
        <v>29</v>
      </c>
      <c r="H40" s="52" t="s">
        <v>28</v>
      </c>
      <c r="I40" s="52" t="s">
        <v>31</v>
      </c>
      <c r="J40" s="52" t="s">
        <v>30</v>
      </c>
      <c r="K40" s="52" t="s">
        <v>31</v>
      </c>
      <c r="L40" s="52" t="s">
        <v>28</v>
      </c>
      <c r="M40" s="52" t="s">
        <v>28</v>
      </c>
      <c r="N40" s="52" t="s">
        <v>30</v>
      </c>
      <c r="O40" s="52" t="s">
        <v>32</v>
      </c>
      <c r="P40" s="52" t="s">
        <v>29</v>
      </c>
      <c r="Q40" s="52" t="s">
        <v>31</v>
      </c>
      <c r="R40" s="52" t="s">
        <v>32</v>
      </c>
      <c r="S40" s="52" t="s">
        <v>30</v>
      </c>
      <c r="T40" s="52" t="s">
        <v>30</v>
      </c>
      <c r="U40" s="52" t="s">
        <v>32</v>
      </c>
      <c r="V40" s="52" t="s">
        <v>28</v>
      </c>
      <c r="W40" s="52" t="s">
        <v>31</v>
      </c>
      <c r="X40" s="52" t="s">
        <v>30</v>
      </c>
    </row>
    <row r="41" ht="15.75" customHeight="1">
      <c r="A41" s="65"/>
      <c r="B41" s="66"/>
      <c r="C41" s="67" t="s">
        <v>343</v>
      </c>
      <c r="D41" s="118">
        <f t="shared" si="4"/>
        <v>4.6875</v>
      </c>
      <c r="E41" s="121">
        <v>1.0</v>
      </c>
      <c r="F41" s="121">
        <v>2.0</v>
      </c>
      <c r="G41" s="121">
        <v>3.0</v>
      </c>
      <c r="H41" s="121">
        <v>4.0</v>
      </c>
      <c r="I41" s="121">
        <v>5.0</v>
      </c>
      <c r="J41" s="121">
        <v>6.0</v>
      </c>
      <c r="K41" s="121">
        <v>7.0</v>
      </c>
      <c r="L41" s="121">
        <v>8.0</v>
      </c>
      <c r="M41" s="121">
        <v>9.0</v>
      </c>
      <c r="N41" s="121">
        <v>10.0</v>
      </c>
      <c r="O41" s="121">
        <v>11.0</v>
      </c>
      <c r="P41" s="121">
        <v>12.0</v>
      </c>
      <c r="Q41" s="121">
        <v>13.0</v>
      </c>
      <c r="R41" s="121">
        <v>14.0</v>
      </c>
      <c r="S41" s="121">
        <v>15.0</v>
      </c>
      <c r="T41" s="121">
        <v>16.0</v>
      </c>
      <c r="U41" s="121">
        <v>17.0</v>
      </c>
      <c r="V41" s="121">
        <v>18.0</v>
      </c>
      <c r="W41" s="121">
        <v>19.0</v>
      </c>
      <c r="X41" s="121">
        <v>20.0</v>
      </c>
    </row>
    <row r="42" ht="15.75" customHeight="1">
      <c r="A42" s="65"/>
      <c r="B42" s="66"/>
      <c r="C42" s="71" t="s">
        <v>344</v>
      </c>
      <c r="D42" s="24"/>
      <c r="E42" s="72">
        <f>COUNTIF(E6:E40,"A")</f>
        <v>9</v>
      </c>
      <c r="F42" s="72">
        <f>COUNTIF(F6:F40,"B")</f>
        <v>23</v>
      </c>
      <c r="G42" s="72">
        <f>COUNTIF(G6:G40,"C")</f>
        <v>5</v>
      </c>
      <c r="H42" s="72">
        <f t="shared" ref="H42:J42" si="5">COUNTIF(H6:H40,"B")</f>
        <v>30</v>
      </c>
      <c r="I42" s="72">
        <f t="shared" si="5"/>
        <v>5</v>
      </c>
      <c r="J42" s="72">
        <f t="shared" si="5"/>
        <v>7</v>
      </c>
      <c r="K42" s="72">
        <f t="shared" ref="K42:L42" si="6">COUNTIF(K6:K40,"D")</f>
        <v>16</v>
      </c>
      <c r="L42" s="72">
        <f t="shared" si="6"/>
        <v>17</v>
      </c>
      <c r="M42" s="72">
        <f>COUNTIF(M6:M40,"B")</f>
        <v>22</v>
      </c>
      <c r="N42" s="72">
        <f>COUNTIF(N6:N40,"C")</f>
        <v>18</v>
      </c>
      <c r="O42" s="72">
        <f>COUNTIF(O6:O40,"E")</f>
        <v>26</v>
      </c>
      <c r="P42" s="72">
        <f>COUNTIF(P6:P40,"B")</f>
        <v>30</v>
      </c>
      <c r="Q42" s="72">
        <f>COUNTIF(Q6:Q40,"D")</f>
        <v>24</v>
      </c>
      <c r="R42" s="72">
        <f>COUNTIF(R6:R40,"E")</f>
        <v>3</v>
      </c>
      <c r="S42" s="72">
        <f>COUNTIF(S6:S40,"C")</f>
        <v>16</v>
      </c>
      <c r="T42" s="72">
        <f>COUNTIF(T6:T40,"##")</f>
        <v>0</v>
      </c>
      <c r="U42" s="72">
        <f t="shared" ref="U42:W42" si="7">COUNTIF(U6:U40,"D")</f>
        <v>23</v>
      </c>
      <c r="V42" s="72">
        <f t="shared" si="7"/>
        <v>6</v>
      </c>
      <c r="W42" s="72">
        <f t="shared" si="7"/>
        <v>12</v>
      </c>
      <c r="X42" s="72">
        <f>COUNTIF(X6:X40,"C")</f>
        <v>8</v>
      </c>
    </row>
    <row r="43" ht="15.75" customHeight="1">
      <c r="A43" s="65"/>
      <c r="B43" s="66"/>
      <c r="C43" s="71" t="s">
        <v>345</v>
      </c>
      <c r="D43" s="24"/>
      <c r="E43" s="73">
        <f t="shared" ref="E43:X43" si="8">(E42)/32</f>
        <v>0.28125</v>
      </c>
      <c r="F43" s="73">
        <f t="shared" si="8"/>
        <v>0.71875</v>
      </c>
      <c r="G43" s="73">
        <f t="shared" si="8"/>
        <v>0.15625</v>
      </c>
      <c r="H43" s="73">
        <f t="shared" si="8"/>
        <v>0.9375</v>
      </c>
      <c r="I43" s="73">
        <f t="shared" si="8"/>
        <v>0.15625</v>
      </c>
      <c r="J43" s="73">
        <f t="shared" si="8"/>
        <v>0.21875</v>
      </c>
      <c r="K43" s="73">
        <f t="shared" si="8"/>
        <v>0.5</v>
      </c>
      <c r="L43" s="73">
        <f t="shared" si="8"/>
        <v>0.53125</v>
      </c>
      <c r="M43" s="73">
        <f t="shared" si="8"/>
        <v>0.6875</v>
      </c>
      <c r="N43" s="73">
        <f t="shared" si="8"/>
        <v>0.5625</v>
      </c>
      <c r="O43" s="73">
        <f t="shared" si="8"/>
        <v>0.8125</v>
      </c>
      <c r="P43" s="73">
        <f t="shared" si="8"/>
        <v>0.9375</v>
      </c>
      <c r="Q43" s="73">
        <f t="shared" si="8"/>
        <v>0.75</v>
      </c>
      <c r="R43" s="73">
        <f t="shared" si="8"/>
        <v>0.09375</v>
      </c>
      <c r="S43" s="73">
        <f t="shared" si="8"/>
        <v>0.5</v>
      </c>
      <c r="T43" s="73">
        <f t="shared" si="8"/>
        <v>0</v>
      </c>
      <c r="U43" s="73">
        <f t="shared" si="8"/>
        <v>0.71875</v>
      </c>
      <c r="V43" s="73">
        <f t="shared" si="8"/>
        <v>0.1875</v>
      </c>
      <c r="W43" s="73">
        <f t="shared" si="8"/>
        <v>0.375</v>
      </c>
      <c r="X43" s="73">
        <f t="shared" si="8"/>
        <v>0.25</v>
      </c>
    </row>
    <row r="44" ht="15.75" customHeight="1">
      <c r="A44" s="65"/>
      <c r="B44" s="66"/>
      <c r="C44" s="71" t="s">
        <v>346</v>
      </c>
      <c r="D44" s="24"/>
      <c r="E44" s="72">
        <f t="shared" ref="E44:X44" si="9">32-E42</f>
        <v>23</v>
      </c>
      <c r="F44" s="72">
        <f t="shared" si="9"/>
        <v>9</v>
      </c>
      <c r="G44" s="72">
        <f t="shared" si="9"/>
        <v>27</v>
      </c>
      <c r="H44" s="72">
        <f t="shared" si="9"/>
        <v>2</v>
      </c>
      <c r="I44" s="72">
        <f t="shared" si="9"/>
        <v>27</v>
      </c>
      <c r="J44" s="72">
        <f t="shared" si="9"/>
        <v>25</v>
      </c>
      <c r="K44" s="72">
        <f t="shared" si="9"/>
        <v>16</v>
      </c>
      <c r="L44" s="72">
        <f t="shared" si="9"/>
        <v>15</v>
      </c>
      <c r="M44" s="72">
        <f t="shared" si="9"/>
        <v>10</v>
      </c>
      <c r="N44" s="72">
        <f t="shared" si="9"/>
        <v>14</v>
      </c>
      <c r="O44" s="72">
        <f t="shared" si="9"/>
        <v>6</v>
      </c>
      <c r="P44" s="72">
        <f t="shared" si="9"/>
        <v>2</v>
      </c>
      <c r="Q44" s="72">
        <f t="shared" si="9"/>
        <v>8</v>
      </c>
      <c r="R44" s="72">
        <f t="shared" si="9"/>
        <v>29</v>
      </c>
      <c r="S44" s="72">
        <f t="shared" si="9"/>
        <v>16</v>
      </c>
      <c r="T44" s="72">
        <f t="shared" si="9"/>
        <v>32</v>
      </c>
      <c r="U44" s="72">
        <f t="shared" si="9"/>
        <v>9</v>
      </c>
      <c r="V44" s="72">
        <f t="shared" si="9"/>
        <v>26</v>
      </c>
      <c r="W44" s="72">
        <f t="shared" si="9"/>
        <v>20</v>
      </c>
      <c r="X44" s="72">
        <f t="shared" si="9"/>
        <v>24</v>
      </c>
    </row>
    <row r="45" ht="15.75" customHeight="1">
      <c r="A45" s="74"/>
      <c r="B45" s="75"/>
      <c r="C45" s="71" t="s">
        <v>347</v>
      </c>
      <c r="D45" s="24"/>
      <c r="E45" s="73">
        <f t="shared" ref="E45:X45" si="10">100%-E43</f>
        <v>0.71875</v>
      </c>
      <c r="F45" s="73">
        <f t="shared" si="10"/>
        <v>0.28125</v>
      </c>
      <c r="G45" s="73">
        <f t="shared" si="10"/>
        <v>0.84375</v>
      </c>
      <c r="H45" s="73">
        <f t="shared" si="10"/>
        <v>0.0625</v>
      </c>
      <c r="I45" s="73">
        <f t="shared" si="10"/>
        <v>0.84375</v>
      </c>
      <c r="J45" s="73">
        <f t="shared" si="10"/>
        <v>0.78125</v>
      </c>
      <c r="K45" s="73">
        <f t="shared" si="10"/>
        <v>0.5</v>
      </c>
      <c r="L45" s="73">
        <f t="shared" si="10"/>
        <v>0.46875</v>
      </c>
      <c r="M45" s="73">
        <f t="shared" si="10"/>
        <v>0.3125</v>
      </c>
      <c r="N45" s="73">
        <f t="shared" si="10"/>
        <v>0.4375</v>
      </c>
      <c r="O45" s="73">
        <f t="shared" si="10"/>
        <v>0.1875</v>
      </c>
      <c r="P45" s="73">
        <f t="shared" si="10"/>
        <v>0.0625</v>
      </c>
      <c r="Q45" s="73">
        <f t="shared" si="10"/>
        <v>0.25</v>
      </c>
      <c r="R45" s="73">
        <f t="shared" si="10"/>
        <v>0.90625</v>
      </c>
      <c r="S45" s="73">
        <f t="shared" si="10"/>
        <v>0.5</v>
      </c>
      <c r="T45" s="73">
        <f t="shared" si="10"/>
        <v>1</v>
      </c>
      <c r="U45" s="73">
        <f t="shared" si="10"/>
        <v>0.28125</v>
      </c>
      <c r="V45" s="73">
        <f t="shared" si="10"/>
        <v>0.8125</v>
      </c>
      <c r="W45" s="73">
        <f t="shared" si="10"/>
        <v>0.625</v>
      </c>
      <c r="X45" s="73">
        <f t="shared" si="10"/>
        <v>0.75</v>
      </c>
    </row>
    <row r="46" ht="15.75" customHeight="1">
      <c r="A46" s="74"/>
      <c r="B46" s="75"/>
      <c r="C46" s="76" t="s">
        <v>348</v>
      </c>
      <c r="D46" s="23"/>
      <c r="E46" s="78">
        <f>(32/35)</f>
        <v>0.9142857143</v>
      </c>
      <c r="F46" s="24"/>
    </row>
    <row r="47" ht="15.75" customHeight="1">
      <c r="A47" s="74"/>
      <c r="B47" s="75"/>
      <c r="C47" s="71" t="s">
        <v>349</v>
      </c>
      <c r="D47" s="24"/>
      <c r="E47" s="119">
        <f>'3A'!E50</f>
        <v>0.2335766423</v>
      </c>
      <c r="F47" s="119">
        <f>'3A'!F50</f>
        <v>0.7445255474</v>
      </c>
      <c r="G47" s="119">
        <f>'3A'!G50</f>
        <v>0.1824817518</v>
      </c>
      <c r="H47" s="119">
        <f>'3A'!H50</f>
        <v>0.8832116788</v>
      </c>
      <c r="I47" s="119">
        <f>'3A'!I50</f>
        <v>0.2773722628</v>
      </c>
      <c r="J47" s="119">
        <f>'3A'!J50</f>
        <v>0.3065693431</v>
      </c>
      <c r="K47" s="119">
        <f>'3A'!K50</f>
        <v>0.4306569343</v>
      </c>
      <c r="L47" s="119">
        <f>'3A'!L50</f>
        <v>0.503649635</v>
      </c>
      <c r="M47" s="119">
        <f>'3A'!M50</f>
        <v>0.5693430657</v>
      </c>
      <c r="N47" s="119">
        <f>'3A'!N50</f>
        <v>0.496350365</v>
      </c>
      <c r="O47" s="119">
        <f>'3A'!O50</f>
        <v>0.7080291971</v>
      </c>
      <c r="P47" s="119">
        <f>'3A'!P50</f>
        <v>0.9343065693</v>
      </c>
      <c r="Q47" s="119">
        <f>'3A'!Q50</f>
        <v>0.802919708</v>
      </c>
      <c r="R47" s="119">
        <f>'3A'!R50</f>
        <v>0.1094890511</v>
      </c>
      <c r="S47" s="119">
        <f>'3A'!S50</f>
        <v>0.4233576642</v>
      </c>
      <c r="T47" s="119">
        <f>'3A'!T50</f>
        <v>0.7591240876</v>
      </c>
      <c r="U47" s="119">
        <f>'3A'!U50</f>
        <v>0.7737226277</v>
      </c>
      <c r="V47" s="119">
        <f>'3A'!V50</f>
        <v>0.2408759124</v>
      </c>
      <c r="W47" s="119">
        <f>'3A'!W50</f>
        <v>0.3722627737</v>
      </c>
      <c r="X47" s="119">
        <f>'3A'!X50</f>
        <v>0.2279411765</v>
      </c>
    </row>
    <row r="48" ht="15.75" customHeight="1">
      <c r="A48" s="74"/>
      <c r="B48" s="75"/>
    </row>
    <row r="49" ht="15.75" customHeight="1">
      <c r="A49" s="74"/>
      <c r="B49" s="75"/>
      <c r="C49" s="81" t="s">
        <v>350</v>
      </c>
      <c r="G49" s="82" t="s">
        <v>351</v>
      </c>
      <c r="H49" s="83" t="s">
        <v>352</v>
      </c>
    </row>
    <row r="50" ht="15.75" customHeight="1">
      <c r="A50" s="74"/>
      <c r="B50" s="75"/>
      <c r="C50" s="84" t="s">
        <v>353</v>
      </c>
      <c r="G50" s="82" t="s">
        <v>351</v>
      </c>
      <c r="H50" s="83" t="s">
        <v>354</v>
      </c>
    </row>
    <row r="51" ht="15.75" customHeight="1">
      <c r="A51" s="74"/>
      <c r="B51" s="75"/>
      <c r="C51" s="85" t="s">
        <v>355</v>
      </c>
      <c r="G51" s="82" t="s">
        <v>351</v>
      </c>
      <c r="H51" s="83" t="s">
        <v>356</v>
      </c>
    </row>
    <row r="52" ht="15.75" customHeight="1">
      <c r="A52" s="74"/>
      <c r="B52" s="75"/>
      <c r="C52" s="86"/>
      <c r="G52" s="82" t="s">
        <v>351</v>
      </c>
      <c r="H52" s="83" t="s">
        <v>357</v>
      </c>
    </row>
    <row r="53" ht="15.75" customHeight="1">
      <c r="A53" s="74"/>
      <c r="B53" s="75"/>
      <c r="C53" s="86"/>
      <c r="G53" s="82" t="s">
        <v>351</v>
      </c>
      <c r="H53" s="83" t="s">
        <v>358</v>
      </c>
    </row>
    <row r="54" ht="15.75" customHeight="1">
      <c r="A54" s="74"/>
      <c r="B54" s="75"/>
      <c r="C54" s="86"/>
    </row>
    <row r="55" ht="15.75" customHeight="1">
      <c r="A55" s="74"/>
      <c r="B55" s="75"/>
      <c r="C55" s="86"/>
    </row>
    <row r="56" ht="15.75" customHeight="1">
      <c r="A56" s="74"/>
      <c r="B56" s="75"/>
      <c r="C56" s="86"/>
    </row>
    <row r="57" ht="15.75" customHeight="1">
      <c r="A57" s="74"/>
      <c r="B57" s="75"/>
      <c r="C57" s="86"/>
    </row>
    <row r="58" ht="15.75" customHeight="1">
      <c r="A58" s="74"/>
      <c r="B58" s="75"/>
    </row>
    <row r="59" ht="15.75" customHeight="1">
      <c r="A59" s="87" t="s">
        <v>0</v>
      </c>
      <c r="B59" s="88" t="s">
        <v>330</v>
      </c>
      <c r="C59" s="89" t="s">
        <v>333</v>
      </c>
      <c r="D59" s="90" t="s">
        <v>359</v>
      </c>
      <c r="E59" s="91">
        <v>1.0</v>
      </c>
      <c r="F59" s="92">
        <v>2.0</v>
      </c>
      <c r="G59" s="92">
        <v>3.0</v>
      </c>
      <c r="H59" s="92">
        <v>4.0</v>
      </c>
      <c r="I59" s="92">
        <v>5.0</v>
      </c>
      <c r="J59" s="92">
        <v>6.0</v>
      </c>
      <c r="K59" s="92">
        <v>7.0</v>
      </c>
      <c r="L59" s="92">
        <v>8.0</v>
      </c>
      <c r="M59" s="92">
        <v>9.0</v>
      </c>
      <c r="N59" s="92">
        <v>10.0</v>
      </c>
      <c r="O59" s="92">
        <v>11.0</v>
      </c>
      <c r="P59" s="92">
        <v>12.0</v>
      </c>
      <c r="Q59" s="92">
        <v>13.0</v>
      </c>
      <c r="R59" s="92">
        <v>14.0</v>
      </c>
      <c r="S59" s="92">
        <v>15.0</v>
      </c>
      <c r="T59" s="92">
        <v>16.0</v>
      </c>
      <c r="U59" s="92">
        <v>17.0</v>
      </c>
      <c r="V59" s="92">
        <v>18.0</v>
      </c>
      <c r="W59" s="92">
        <v>19.0</v>
      </c>
      <c r="X59" s="92">
        <v>20.0</v>
      </c>
    </row>
    <row r="60" ht="15.75" customHeight="1">
      <c r="A60" s="93" t="s">
        <v>334</v>
      </c>
      <c r="B60" s="94">
        <f t="shared" ref="B60:B95" si="11">SUM(E60:X60)</f>
        <v>10</v>
      </c>
      <c r="C60" s="95" t="s">
        <v>336</v>
      </c>
      <c r="D60" s="96">
        <f t="shared" ref="D60:D95" si="12">B60</f>
        <v>10</v>
      </c>
      <c r="E60" s="97">
        <f t="shared" ref="E60:E95" si="13">IF(E5=$E$3,$E$4,0)</f>
        <v>0.5</v>
      </c>
      <c r="F60" s="98">
        <f t="shared" ref="F60:F95" si="14">IF(F5=$F$3,$F$4,0)</f>
        <v>0.5</v>
      </c>
      <c r="G60" s="98">
        <f t="shared" ref="G60:G95" si="15">IF(G5=$G$3,$G$4,0)</f>
        <v>0.5</v>
      </c>
      <c r="H60" s="98">
        <f t="shared" ref="H60:H95" si="16">IF(H5=$H$3,$H$4,0)</f>
        <v>0.5</v>
      </c>
      <c r="I60" s="98">
        <f t="shared" ref="I60:I95" si="17">IF(I5=$I$3,$I$4,0)</f>
        <v>0.5</v>
      </c>
      <c r="J60" s="98">
        <f t="shared" ref="J60:J95" si="18">IF(J5=$J$3,$J$4,0)</f>
        <v>0.5</v>
      </c>
      <c r="K60" s="98">
        <f t="shared" ref="K60:K95" si="19">IF(K5=$K$3,$K$4,0)</f>
        <v>0.5</v>
      </c>
      <c r="L60" s="98">
        <f t="shared" ref="L60:L95" si="20">IF(L5=$L$3,$L$4,0)</f>
        <v>0.5</v>
      </c>
      <c r="M60" s="98">
        <f t="shared" ref="M60:M95" si="21">IF(M5=$M$3,$M$4,0)</f>
        <v>0.5</v>
      </c>
      <c r="N60" s="98">
        <f t="shared" ref="N60:N95" si="22">IF(N5=$N$3,$N$4,0)</f>
        <v>0.5</v>
      </c>
      <c r="O60" s="98">
        <f t="shared" ref="O60:O95" si="23">IF(O5=$O$3,$O$4,0)</f>
        <v>0.5</v>
      </c>
      <c r="P60" s="98">
        <f t="shared" ref="P60:P95" si="24">IF(P5=$P$3,$P$4,0)</f>
        <v>0.5</v>
      </c>
      <c r="Q60" s="98">
        <f t="shared" ref="Q60:Q95" si="25">IF(Q5=$Q$3,$Q$4,0)</f>
        <v>0.5</v>
      </c>
      <c r="R60" s="98">
        <f t="shared" ref="R60:R95" si="26">IF(R5=$R$3,$R$4,0)</f>
        <v>0.5</v>
      </c>
      <c r="S60" s="98">
        <f t="shared" ref="S60:S95" si="27">IF(S5=$S$3,$S$4,0)</f>
        <v>0.5</v>
      </c>
      <c r="T60" s="98">
        <f t="shared" ref="T60:T95" si="28">IF(T5=$T$3,$T$4,0)</f>
        <v>0.5</v>
      </c>
      <c r="U60" s="98">
        <f t="shared" ref="U60:U95" si="29">IF(U5=$U$3,$U$4,0)</f>
        <v>0.5</v>
      </c>
      <c r="V60" s="98">
        <f t="shared" ref="V60:V95" si="30">IF(V5=$V$3,$V$4,0)</f>
        <v>0.5</v>
      </c>
      <c r="W60" s="98">
        <f t="shared" ref="W60:W95" si="31">IF(W5=$W$3,$W$4,0)</f>
        <v>0.5</v>
      </c>
      <c r="X60" s="98">
        <f t="shared" ref="X60:X95" si="32">IF(X5=$X$3,$X$4,0)</f>
        <v>0.5</v>
      </c>
    </row>
    <row r="61" ht="15.75" customHeight="1">
      <c r="A61" s="99">
        <v>1.0</v>
      </c>
      <c r="B61" s="100">
        <f t="shared" si="11"/>
        <v>6</v>
      </c>
      <c r="C61" s="49" t="s">
        <v>260</v>
      </c>
      <c r="D61" s="101">
        <f t="shared" si="12"/>
        <v>6</v>
      </c>
      <c r="E61" s="102">
        <f t="shared" si="13"/>
        <v>0.5</v>
      </c>
      <c r="F61" s="103">
        <f t="shared" si="14"/>
        <v>0.5</v>
      </c>
      <c r="G61" s="103">
        <f t="shared" si="15"/>
        <v>0</v>
      </c>
      <c r="H61" s="103">
        <f t="shared" si="16"/>
        <v>0.5</v>
      </c>
      <c r="I61" s="103">
        <f t="shared" si="17"/>
        <v>0</v>
      </c>
      <c r="J61" s="103">
        <f t="shared" si="18"/>
        <v>0</v>
      </c>
      <c r="K61" s="103">
        <f t="shared" si="19"/>
        <v>0.5</v>
      </c>
      <c r="L61" s="103">
        <f t="shared" si="20"/>
        <v>0.5</v>
      </c>
      <c r="M61" s="103">
        <f t="shared" si="21"/>
        <v>0.5</v>
      </c>
      <c r="N61" s="103">
        <f t="shared" si="22"/>
        <v>0.5</v>
      </c>
      <c r="O61" s="103">
        <f t="shared" si="23"/>
        <v>0.5</v>
      </c>
      <c r="P61" s="103">
        <f t="shared" si="24"/>
        <v>0.5</v>
      </c>
      <c r="Q61" s="103">
        <f t="shared" si="25"/>
        <v>0.5</v>
      </c>
      <c r="R61" s="103">
        <f t="shared" si="26"/>
        <v>0</v>
      </c>
      <c r="S61" s="103">
        <f t="shared" si="27"/>
        <v>0.5</v>
      </c>
      <c r="T61" s="103">
        <f t="shared" si="28"/>
        <v>0</v>
      </c>
      <c r="U61" s="103">
        <f t="shared" si="29"/>
        <v>0.5</v>
      </c>
      <c r="V61" s="103">
        <f t="shared" si="30"/>
        <v>0</v>
      </c>
      <c r="W61" s="103">
        <f t="shared" si="31"/>
        <v>0</v>
      </c>
      <c r="X61" s="103">
        <f t="shared" si="32"/>
        <v>0</v>
      </c>
    </row>
    <row r="62" ht="15.75" customHeight="1">
      <c r="A62" s="104">
        <v>2.0</v>
      </c>
      <c r="B62" s="105">
        <f t="shared" si="11"/>
        <v>0</v>
      </c>
      <c r="C62" s="55" t="s">
        <v>262</v>
      </c>
      <c r="D62" s="106">
        <f t="shared" si="12"/>
        <v>0</v>
      </c>
      <c r="E62" s="107">
        <f t="shared" si="13"/>
        <v>0</v>
      </c>
      <c r="F62" s="108">
        <f t="shared" si="14"/>
        <v>0</v>
      </c>
      <c r="G62" s="108">
        <f t="shared" si="15"/>
        <v>0</v>
      </c>
      <c r="H62" s="108">
        <f t="shared" si="16"/>
        <v>0</v>
      </c>
      <c r="I62" s="108">
        <f t="shared" si="17"/>
        <v>0</v>
      </c>
      <c r="J62" s="108">
        <f t="shared" si="18"/>
        <v>0</v>
      </c>
      <c r="K62" s="108">
        <f t="shared" si="19"/>
        <v>0</v>
      </c>
      <c r="L62" s="108">
        <f t="shared" si="20"/>
        <v>0</v>
      </c>
      <c r="M62" s="108">
        <f t="shared" si="21"/>
        <v>0</v>
      </c>
      <c r="N62" s="108">
        <f t="shared" si="22"/>
        <v>0</v>
      </c>
      <c r="O62" s="108">
        <f t="shared" si="23"/>
        <v>0</v>
      </c>
      <c r="P62" s="108">
        <f t="shared" si="24"/>
        <v>0</v>
      </c>
      <c r="Q62" s="108">
        <f t="shared" si="25"/>
        <v>0</v>
      </c>
      <c r="R62" s="108">
        <f t="shared" si="26"/>
        <v>0</v>
      </c>
      <c r="S62" s="108">
        <f t="shared" si="27"/>
        <v>0</v>
      </c>
      <c r="T62" s="108">
        <f t="shared" si="28"/>
        <v>0</v>
      </c>
      <c r="U62" s="108">
        <f t="shared" si="29"/>
        <v>0</v>
      </c>
      <c r="V62" s="108">
        <f t="shared" si="30"/>
        <v>0</v>
      </c>
      <c r="W62" s="108">
        <f t="shared" si="31"/>
        <v>0</v>
      </c>
      <c r="X62" s="108">
        <f t="shared" si="32"/>
        <v>0</v>
      </c>
    </row>
    <row r="63" ht="15.75" customHeight="1">
      <c r="A63" s="104">
        <v>3.0</v>
      </c>
      <c r="B63" s="105">
        <f t="shared" si="11"/>
        <v>5.5</v>
      </c>
      <c r="C63" s="55" t="s">
        <v>264</v>
      </c>
      <c r="D63" s="106">
        <f t="shared" si="12"/>
        <v>5.5</v>
      </c>
      <c r="E63" s="107">
        <f t="shared" si="13"/>
        <v>0</v>
      </c>
      <c r="F63" s="108">
        <f t="shared" si="14"/>
        <v>0.5</v>
      </c>
      <c r="G63" s="108">
        <f t="shared" si="15"/>
        <v>0</v>
      </c>
      <c r="H63" s="108">
        <f t="shared" si="16"/>
        <v>0.5</v>
      </c>
      <c r="I63" s="108">
        <f t="shared" si="17"/>
        <v>0</v>
      </c>
      <c r="J63" s="108">
        <f t="shared" si="18"/>
        <v>0</v>
      </c>
      <c r="K63" s="108">
        <f t="shared" si="19"/>
        <v>0</v>
      </c>
      <c r="L63" s="108">
        <f t="shared" si="20"/>
        <v>0.5</v>
      </c>
      <c r="M63" s="108">
        <f t="shared" si="21"/>
        <v>0.5</v>
      </c>
      <c r="N63" s="108">
        <f t="shared" si="22"/>
        <v>0.5</v>
      </c>
      <c r="O63" s="108">
        <f t="shared" si="23"/>
        <v>0.5</v>
      </c>
      <c r="P63" s="108">
        <f t="shared" si="24"/>
        <v>0.5</v>
      </c>
      <c r="Q63" s="108">
        <f t="shared" si="25"/>
        <v>0.5</v>
      </c>
      <c r="R63" s="108">
        <f t="shared" si="26"/>
        <v>0</v>
      </c>
      <c r="S63" s="108">
        <f t="shared" si="27"/>
        <v>0.5</v>
      </c>
      <c r="T63" s="108">
        <f t="shared" si="28"/>
        <v>0</v>
      </c>
      <c r="U63" s="108">
        <f t="shared" si="29"/>
        <v>0.5</v>
      </c>
      <c r="V63" s="108">
        <f t="shared" si="30"/>
        <v>0.5</v>
      </c>
      <c r="W63" s="108">
        <f t="shared" si="31"/>
        <v>0</v>
      </c>
      <c r="X63" s="108">
        <f t="shared" si="32"/>
        <v>0</v>
      </c>
    </row>
    <row r="64" ht="15.75" customHeight="1">
      <c r="A64" s="104">
        <v>4.0</v>
      </c>
      <c r="B64" s="105">
        <f t="shared" si="11"/>
        <v>3.5</v>
      </c>
      <c r="C64" s="55" t="s">
        <v>266</v>
      </c>
      <c r="D64" s="106">
        <f t="shared" si="12"/>
        <v>3.5</v>
      </c>
      <c r="E64" s="107">
        <f t="shared" si="13"/>
        <v>0</v>
      </c>
      <c r="F64" s="108">
        <f t="shared" si="14"/>
        <v>0</v>
      </c>
      <c r="G64" s="108">
        <f t="shared" si="15"/>
        <v>0</v>
      </c>
      <c r="H64" s="108">
        <f t="shared" si="16"/>
        <v>0.5</v>
      </c>
      <c r="I64" s="108">
        <f t="shared" si="17"/>
        <v>0</v>
      </c>
      <c r="J64" s="108">
        <f t="shared" si="18"/>
        <v>0</v>
      </c>
      <c r="K64" s="108">
        <f t="shared" si="19"/>
        <v>0</v>
      </c>
      <c r="L64" s="108">
        <f t="shared" si="20"/>
        <v>0.5</v>
      </c>
      <c r="M64" s="108">
        <f t="shared" si="21"/>
        <v>0</v>
      </c>
      <c r="N64" s="108">
        <f t="shared" si="22"/>
        <v>0</v>
      </c>
      <c r="O64" s="108">
        <f t="shared" si="23"/>
        <v>0</v>
      </c>
      <c r="P64" s="108">
        <f t="shared" si="24"/>
        <v>0.5</v>
      </c>
      <c r="Q64" s="108">
        <f t="shared" si="25"/>
        <v>0.5</v>
      </c>
      <c r="R64" s="108">
        <f t="shared" si="26"/>
        <v>0</v>
      </c>
      <c r="S64" s="108">
        <f t="shared" si="27"/>
        <v>0</v>
      </c>
      <c r="T64" s="108">
        <f t="shared" si="28"/>
        <v>0</v>
      </c>
      <c r="U64" s="108">
        <f t="shared" si="29"/>
        <v>0.5</v>
      </c>
      <c r="V64" s="108">
        <f t="shared" si="30"/>
        <v>0</v>
      </c>
      <c r="W64" s="108">
        <f t="shared" si="31"/>
        <v>0.5</v>
      </c>
      <c r="X64" s="108">
        <f t="shared" si="32"/>
        <v>0.5</v>
      </c>
    </row>
    <row r="65" ht="15.75" customHeight="1">
      <c r="A65" s="104">
        <v>5.0</v>
      </c>
      <c r="B65" s="105">
        <f t="shared" si="11"/>
        <v>0</v>
      </c>
      <c r="C65" s="55" t="s">
        <v>268</v>
      </c>
      <c r="D65" s="106">
        <f t="shared" si="12"/>
        <v>0</v>
      </c>
      <c r="E65" s="107">
        <f t="shared" si="13"/>
        <v>0</v>
      </c>
      <c r="F65" s="108">
        <f t="shared" si="14"/>
        <v>0</v>
      </c>
      <c r="G65" s="108">
        <f t="shared" si="15"/>
        <v>0</v>
      </c>
      <c r="H65" s="108">
        <f t="shared" si="16"/>
        <v>0</v>
      </c>
      <c r="I65" s="108">
        <f t="shared" si="17"/>
        <v>0</v>
      </c>
      <c r="J65" s="108">
        <f t="shared" si="18"/>
        <v>0</v>
      </c>
      <c r="K65" s="108">
        <f t="shared" si="19"/>
        <v>0</v>
      </c>
      <c r="L65" s="108">
        <f t="shared" si="20"/>
        <v>0</v>
      </c>
      <c r="M65" s="108">
        <f t="shared" si="21"/>
        <v>0</v>
      </c>
      <c r="N65" s="108">
        <f t="shared" si="22"/>
        <v>0</v>
      </c>
      <c r="O65" s="108">
        <f t="shared" si="23"/>
        <v>0</v>
      </c>
      <c r="P65" s="108">
        <f t="shared" si="24"/>
        <v>0</v>
      </c>
      <c r="Q65" s="108">
        <f t="shared" si="25"/>
        <v>0</v>
      </c>
      <c r="R65" s="108">
        <f t="shared" si="26"/>
        <v>0</v>
      </c>
      <c r="S65" s="108">
        <f t="shared" si="27"/>
        <v>0</v>
      </c>
      <c r="T65" s="108">
        <f t="shared" si="28"/>
        <v>0</v>
      </c>
      <c r="U65" s="108">
        <f t="shared" si="29"/>
        <v>0</v>
      </c>
      <c r="V65" s="108">
        <f t="shared" si="30"/>
        <v>0</v>
      </c>
      <c r="W65" s="108">
        <f t="shared" si="31"/>
        <v>0</v>
      </c>
      <c r="X65" s="108">
        <f t="shared" si="32"/>
        <v>0</v>
      </c>
    </row>
    <row r="66" ht="15.75" customHeight="1">
      <c r="A66" s="104">
        <v>6.0</v>
      </c>
      <c r="B66" s="105">
        <f t="shared" si="11"/>
        <v>5</v>
      </c>
      <c r="C66" s="55" t="s">
        <v>270</v>
      </c>
      <c r="D66" s="106">
        <f t="shared" si="12"/>
        <v>5</v>
      </c>
      <c r="E66" s="107">
        <f t="shared" si="13"/>
        <v>0</v>
      </c>
      <c r="F66" s="108">
        <f t="shared" si="14"/>
        <v>0.5</v>
      </c>
      <c r="G66" s="108">
        <f t="shared" si="15"/>
        <v>0.5</v>
      </c>
      <c r="H66" s="108">
        <f t="shared" si="16"/>
        <v>0.5</v>
      </c>
      <c r="I66" s="108">
        <f t="shared" si="17"/>
        <v>0</v>
      </c>
      <c r="J66" s="108">
        <f t="shared" si="18"/>
        <v>0</v>
      </c>
      <c r="K66" s="108">
        <f t="shared" si="19"/>
        <v>0.5</v>
      </c>
      <c r="L66" s="108">
        <f t="shared" si="20"/>
        <v>0.5</v>
      </c>
      <c r="M66" s="108">
        <f t="shared" si="21"/>
        <v>0.5</v>
      </c>
      <c r="N66" s="108">
        <f t="shared" si="22"/>
        <v>0</v>
      </c>
      <c r="O66" s="108">
        <f t="shared" si="23"/>
        <v>0.5</v>
      </c>
      <c r="P66" s="108">
        <f t="shared" si="24"/>
        <v>0.5</v>
      </c>
      <c r="Q66" s="108">
        <f t="shared" si="25"/>
        <v>0.5</v>
      </c>
      <c r="R66" s="108">
        <f t="shared" si="26"/>
        <v>0</v>
      </c>
      <c r="S66" s="108">
        <f t="shared" si="27"/>
        <v>0</v>
      </c>
      <c r="T66" s="108">
        <f t="shared" si="28"/>
        <v>0</v>
      </c>
      <c r="U66" s="108">
        <f t="shared" si="29"/>
        <v>0.5</v>
      </c>
      <c r="V66" s="108">
        <f t="shared" si="30"/>
        <v>0</v>
      </c>
      <c r="W66" s="108">
        <f t="shared" si="31"/>
        <v>0</v>
      </c>
      <c r="X66" s="108">
        <f t="shared" si="32"/>
        <v>0</v>
      </c>
    </row>
    <row r="67" ht="15.75" customHeight="1">
      <c r="A67" s="104">
        <v>7.0</v>
      </c>
      <c r="B67" s="105">
        <f t="shared" si="11"/>
        <v>4.5</v>
      </c>
      <c r="C67" s="55" t="s">
        <v>272</v>
      </c>
      <c r="D67" s="106">
        <f t="shared" si="12"/>
        <v>4.5</v>
      </c>
      <c r="E67" s="107">
        <f t="shared" si="13"/>
        <v>0</v>
      </c>
      <c r="F67" s="108">
        <f t="shared" si="14"/>
        <v>0</v>
      </c>
      <c r="G67" s="108">
        <f t="shared" si="15"/>
        <v>0</v>
      </c>
      <c r="H67" s="108">
        <f t="shared" si="16"/>
        <v>0.5</v>
      </c>
      <c r="I67" s="108">
        <f t="shared" si="17"/>
        <v>0</v>
      </c>
      <c r="J67" s="108">
        <f t="shared" si="18"/>
        <v>0.5</v>
      </c>
      <c r="K67" s="108">
        <f t="shared" si="19"/>
        <v>0.5</v>
      </c>
      <c r="L67" s="108">
        <f t="shared" si="20"/>
        <v>0</v>
      </c>
      <c r="M67" s="108">
        <f t="shared" si="21"/>
        <v>0.5</v>
      </c>
      <c r="N67" s="108">
        <f t="shared" si="22"/>
        <v>0.5</v>
      </c>
      <c r="O67" s="108">
        <f t="shared" si="23"/>
        <v>0.5</v>
      </c>
      <c r="P67" s="108">
        <f t="shared" si="24"/>
        <v>0.5</v>
      </c>
      <c r="Q67" s="108">
        <f t="shared" si="25"/>
        <v>0</v>
      </c>
      <c r="R67" s="108">
        <f t="shared" si="26"/>
        <v>0</v>
      </c>
      <c r="S67" s="108">
        <f t="shared" si="27"/>
        <v>0</v>
      </c>
      <c r="T67" s="108">
        <f t="shared" si="28"/>
        <v>0</v>
      </c>
      <c r="U67" s="108">
        <f t="shared" si="29"/>
        <v>0.5</v>
      </c>
      <c r="V67" s="108">
        <f t="shared" si="30"/>
        <v>0</v>
      </c>
      <c r="W67" s="108">
        <f t="shared" si="31"/>
        <v>0</v>
      </c>
      <c r="X67" s="108">
        <f t="shared" si="32"/>
        <v>0.5</v>
      </c>
    </row>
    <row r="68" ht="15.75" customHeight="1">
      <c r="A68" s="104">
        <v>8.0</v>
      </c>
      <c r="B68" s="105">
        <f t="shared" si="11"/>
        <v>2.5</v>
      </c>
      <c r="C68" s="57" t="s">
        <v>274</v>
      </c>
      <c r="D68" s="106">
        <f t="shared" si="12"/>
        <v>2.5</v>
      </c>
      <c r="E68" s="107">
        <f t="shared" si="13"/>
        <v>0</v>
      </c>
      <c r="F68" s="108">
        <f t="shared" si="14"/>
        <v>0.5</v>
      </c>
      <c r="G68" s="108">
        <f t="shared" si="15"/>
        <v>0</v>
      </c>
      <c r="H68" s="108">
        <f t="shared" si="16"/>
        <v>0.5</v>
      </c>
      <c r="I68" s="108">
        <f t="shared" si="17"/>
        <v>0</v>
      </c>
      <c r="J68" s="108">
        <f t="shared" si="18"/>
        <v>0</v>
      </c>
      <c r="K68" s="108">
        <f t="shared" si="19"/>
        <v>0</v>
      </c>
      <c r="L68" s="108">
        <f t="shared" si="20"/>
        <v>0</v>
      </c>
      <c r="M68" s="108">
        <f t="shared" si="21"/>
        <v>0.5</v>
      </c>
      <c r="N68" s="108">
        <f t="shared" si="22"/>
        <v>0</v>
      </c>
      <c r="O68" s="108">
        <f t="shared" si="23"/>
        <v>0.5</v>
      </c>
      <c r="P68" s="108">
        <f t="shared" si="24"/>
        <v>0.5</v>
      </c>
      <c r="Q68" s="108">
        <f t="shared" si="25"/>
        <v>0</v>
      </c>
      <c r="R68" s="108">
        <f t="shared" si="26"/>
        <v>0</v>
      </c>
      <c r="S68" s="108">
        <f t="shared" si="27"/>
        <v>0</v>
      </c>
      <c r="T68" s="108">
        <f t="shared" si="28"/>
        <v>0</v>
      </c>
      <c r="U68" s="108">
        <f t="shared" si="29"/>
        <v>0</v>
      </c>
      <c r="V68" s="108">
        <f t="shared" si="30"/>
        <v>0</v>
      </c>
      <c r="W68" s="108">
        <f t="shared" si="31"/>
        <v>0</v>
      </c>
      <c r="X68" s="108">
        <f t="shared" si="32"/>
        <v>0</v>
      </c>
    </row>
    <row r="69" ht="15.75" customHeight="1">
      <c r="A69" s="104">
        <v>9.0</v>
      </c>
      <c r="B69" s="105">
        <f t="shared" si="11"/>
        <v>0</v>
      </c>
      <c r="C69" s="55" t="s">
        <v>276</v>
      </c>
      <c r="D69" s="106">
        <f t="shared" si="12"/>
        <v>0</v>
      </c>
      <c r="E69" s="107">
        <f t="shared" si="13"/>
        <v>0</v>
      </c>
      <c r="F69" s="108">
        <f t="shared" si="14"/>
        <v>0</v>
      </c>
      <c r="G69" s="108">
        <f t="shared" si="15"/>
        <v>0</v>
      </c>
      <c r="H69" s="108">
        <f t="shared" si="16"/>
        <v>0</v>
      </c>
      <c r="I69" s="108">
        <f t="shared" si="17"/>
        <v>0</v>
      </c>
      <c r="J69" s="108">
        <f t="shared" si="18"/>
        <v>0</v>
      </c>
      <c r="K69" s="108">
        <f t="shared" si="19"/>
        <v>0</v>
      </c>
      <c r="L69" s="108">
        <f t="shared" si="20"/>
        <v>0</v>
      </c>
      <c r="M69" s="108">
        <f t="shared" si="21"/>
        <v>0</v>
      </c>
      <c r="N69" s="108">
        <f t="shared" si="22"/>
        <v>0</v>
      </c>
      <c r="O69" s="108">
        <f t="shared" si="23"/>
        <v>0</v>
      </c>
      <c r="P69" s="108">
        <f t="shared" si="24"/>
        <v>0</v>
      </c>
      <c r="Q69" s="108">
        <f t="shared" si="25"/>
        <v>0</v>
      </c>
      <c r="R69" s="108">
        <f t="shared" si="26"/>
        <v>0</v>
      </c>
      <c r="S69" s="108">
        <f t="shared" si="27"/>
        <v>0</v>
      </c>
      <c r="T69" s="108">
        <f t="shared" si="28"/>
        <v>0</v>
      </c>
      <c r="U69" s="108">
        <f t="shared" si="29"/>
        <v>0</v>
      </c>
      <c r="V69" s="108">
        <f t="shared" si="30"/>
        <v>0</v>
      </c>
      <c r="W69" s="108">
        <f t="shared" si="31"/>
        <v>0</v>
      </c>
      <c r="X69" s="108">
        <f t="shared" si="32"/>
        <v>0</v>
      </c>
    </row>
    <row r="70" ht="15.75" customHeight="1">
      <c r="A70" s="104">
        <v>10.0</v>
      </c>
      <c r="B70" s="105">
        <f t="shared" si="11"/>
        <v>4.5</v>
      </c>
      <c r="C70" s="55" t="s">
        <v>278</v>
      </c>
      <c r="D70" s="106">
        <f t="shared" si="12"/>
        <v>4.5</v>
      </c>
      <c r="E70" s="107">
        <f t="shared" si="13"/>
        <v>0.5</v>
      </c>
      <c r="F70" s="108">
        <f t="shared" si="14"/>
        <v>0</v>
      </c>
      <c r="G70" s="108">
        <f t="shared" si="15"/>
        <v>0.5</v>
      </c>
      <c r="H70" s="108">
        <f t="shared" si="16"/>
        <v>0.5</v>
      </c>
      <c r="I70" s="108">
        <f t="shared" si="17"/>
        <v>0</v>
      </c>
      <c r="J70" s="108">
        <f t="shared" si="18"/>
        <v>0</v>
      </c>
      <c r="K70" s="108">
        <f t="shared" si="19"/>
        <v>0</v>
      </c>
      <c r="L70" s="108">
        <f t="shared" si="20"/>
        <v>0.5</v>
      </c>
      <c r="M70" s="108">
        <f t="shared" si="21"/>
        <v>0</v>
      </c>
      <c r="N70" s="108">
        <f t="shared" si="22"/>
        <v>0</v>
      </c>
      <c r="O70" s="108">
        <f t="shared" si="23"/>
        <v>0.5</v>
      </c>
      <c r="P70" s="108">
        <f t="shared" si="24"/>
        <v>0.5</v>
      </c>
      <c r="Q70" s="108">
        <f t="shared" si="25"/>
        <v>0.5</v>
      </c>
      <c r="R70" s="108">
        <f t="shared" si="26"/>
        <v>0</v>
      </c>
      <c r="S70" s="108">
        <f t="shared" si="27"/>
        <v>0.5</v>
      </c>
      <c r="T70" s="108">
        <f t="shared" si="28"/>
        <v>0</v>
      </c>
      <c r="U70" s="108">
        <f t="shared" si="29"/>
        <v>0.5</v>
      </c>
      <c r="V70" s="108">
        <f t="shared" si="30"/>
        <v>0</v>
      </c>
      <c r="W70" s="108">
        <f t="shared" si="31"/>
        <v>0</v>
      </c>
      <c r="X70" s="108">
        <f t="shared" si="32"/>
        <v>0</v>
      </c>
    </row>
    <row r="71" ht="15.75" customHeight="1">
      <c r="A71" s="104">
        <v>11.0</v>
      </c>
      <c r="B71" s="105">
        <f t="shared" si="11"/>
        <v>2.5</v>
      </c>
      <c r="C71" s="55" t="s">
        <v>280</v>
      </c>
      <c r="D71" s="106">
        <f t="shared" si="12"/>
        <v>2.5</v>
      </c>
      <c r="E71" s="107">
        <f t="shared" si="13"/>
        <v>0</v>
      </c>
      <c r="F71" s="108">
        <f t="shared" si="14"/>
        <v>0.5</v>
      </c>
      <c r="G71" s="108">
        <f t="shared" si="15"/>
        <v>0</v>
      </c>
      <c r="H71" s="108">
        <f t="shared" si="16"/>
        <v>0.5</v>
      </c>
      <c r="I71" s="108">
        <f t="shared" si="17"/>
        <v>0</v>
      </c>
      <c r="J71" s="108">
        <f t="shared" si="18"/>
        <v>0</v>
      </c>
      <c r="K71" s="108">
        <f t="shared" si="19"/>
        <v>0</v>
      </c>
      <c r="L71" s="108">
        <f t="shared" si="20"/>
        <v>0</v>
      </c>
      <c r="M71" s="108">
        <f t="shared" si="21"/>
        <v>0</v>
      </c>
      <c r="N71" s="108">
        <f t="shared" si="22"/>
        <v>0</v>
      </c>
      <c r="O71" s="108">
        <f t="shared" si="23"/>
        <v>0</v>
      </c>
      <c r="P71" s="108">
        <f t="shared" si="24"/>
        <v>0.5</v>
      </c>
      <c r="Q71" s="108">
        <f t="shared" si="25"/>
        <v>0</v>
      </c>
      <c r="R71" s="108">
        <f t="shared" si="26"/>
        <v>0</v>
      </c>
      <c r="S71" s="108">
        <f t="shared" si="27"/>
        <v>0.5</v>
      </c>
      <c r="T71" s="108">
        <f t="shared" si="28"/>
        <v>0</v>
      </c>
      <c r="U71" s="108">
        <f t="shared" si="29"/>
        <v>0</v>
      </c>
      <c r="V71" s="108">
        <f t="shared" si="30"/>
        <v>0</v>
      </c>
      <c r="W71" s="108">
        <f t="shared" si="31"/>
        <v>0.5</v>
      </c>
      <c r="X71" s="108">
        <f t="shared" si="32"/>
        <v>0</v>
      </c>
    </row>
    <row r="72" ht="15.75" customHeight="1">
      <c r="A72" s="104">
        <v>12.0</v>
      </c>
      <c r="B72" s="105">
        <f t="shared" si="11"/>
        <v>5.5</v>
      </c>
      <c r="C72" s="55" t="s">
        <v>282</v>
      </c>
      <c r="D72" s="106">
        <f t="shared" si="12"/>
        <v>5.5</v>
      </c>
      <c r="E72" s="107">
        <f t="shared" si="13"/>
        <v>0</v>
      </c>
      <c r="F72" s="108">
        <f t="shared" si="14"/>
        <v>0.5</v>
      </c>
      <c r="G72" s="108">
        <f t="shared" si="15"/>
        <v>0.5</v>
      </c>
      <c r="H72" s="108">
        <f t="shared" si="16"/>
        <v>0.5</v>
      </c>
      <c r="I72" s="108">
        <f t="shared" si="17"/>
        <v>0</v>
      </c>
      <c r="J72" s="108">
        <f t="shared" si="18"/>
        <v>0</v>
      </c>
      <c r="K72" s="108">
        <f t="shared" si="19"/>
        <v>0</v>
      </c>
      <c r="L72" s="108">
        <f t="shared" si="20"/>
        <v>0.5</v>
      </c>
      <c r="M72" s="108">
        <f t="shared" si="21"/>
        <v>0.5</v>
      </c>
      <c r="N72" s="108">
        <f t="shared" si="22"/>
        <v>0.5</v>
      </c>
      <c r="O72" s="108">
        <f t="shared" si="23"/>
        <v>0.5</v>
      </c>
      <c r="P72" s="108">
        <f t="shared" si="24"/>
        <v>0.5</v>
      </c>
      <c r="Q72" s="108">
        <f t="shared" si="25"/>
        <v>0.5</v>
      </c>
      <c r="R72" s="108">
        <f t="shared" si="26"/>
        <v>0.5</v>
      </c>
      <c r="S72" s="108">
        <f t="shared" si="27"/>
        <v>0</v>
      </c>
      <c r="T72" s="108">
        <f t="shared" si="28"/>
        <v>0</v>
      </c>
      <c r="U72" s="108">
        <f t="shared" si="29"/>
        <v>0.5</v>
      </c>
      <c r="V72" s="108">
        <f t="shared" si="30"/>
        <v>0</v>
      </c>
      <c r="W72" s="108">
        <f t="shared" si="31"/>
        <v>0</v>
      </c>
      <c r="X72" s="108">
        <f t="shared" si="32"/>
        <v>0</v>
      </c>
    </row>
    <row r="73" ht="15.75" customHeight="1">
      <c r="A73" s="104">
        <v>13.0</v>
      </c>
      <c r="B73" s="105">
        <f t="shared" si="11"/>
        <v>4</v>
      </c>
      <c r="C73" s="55" t="s">
        <v>284</v>
      </c>
      <c r="D73" s="106">
        <f t="shared" si="12"/>
        <v>4</v>
      </c>
      <c r="E73" s="107">
        <f t="shared" si="13"/>
        <v>0</v>
      </c>
      <c r="F73" s="108">
        <f t="shared" si="14"/>
        <v>0</v>
      </c>
      <c r="G73" s="108">
        <f t="shared" si="15"/>
        <v>0</v>
      </c>
      <c r="H73" s="108">
        <f t="shared" si="16"/>
        <v>0.5</v>
      </c>
      <c r="I73" s="108">
        <f t="shared" si="17"/>
        <v>0</v>
      </c>
      <c r="J73" s="108">
        <f t="shared" si="18"/>
        <v>0.5</v>
      </c>
      <c r="K73" s="108">
        <f t="shared" si="19"/>
        <v>0.5</v>
      </c>
      <c r="L73" s="108">
        <f t="shared" si="20"/>
        <v>0</v>
      </c>
      <c r="M73" s="108">
        <f t="shared" si="21"/>
        <v>0</v>
      </c>
      <c r="N73" s="108">
        <f t="shared" si="22"/>
        <v>0.5</v>
      </c>
      <c r="O73" s="108">
        <f t="shared" si="23"/>
        <v>0</v>
      </c>
      <c r="P73" s="108">
        <f t="shared" si="24"/>
        <v>0.5</v>
      </c>
      <c r="Q73" s="108">
        <f t="shared" si="25"/>
        <v>0.5</v>
      </c>
      <c r="R73" s="108">
        <f t="shared" si="26"/>
        <v>0</v>
      </c>
      <c r="S73" s="108">
        <f t="shared" si="27"/>
        <v>0</v>
      </c>
      <c r="T73" s="108">
        <f t="shared" si="28"/>
        <v>0</v>
      </c>
      <c r="U73" s="108">
        <f t="shared" si="29"/>
        <v>0.5</v>
      </c>
      <c r="V73" s="108">
        <f t="shared" si="30"/>
        <v>0</v>
      </c>
      <c r="W73" s="108">
        <f t="shared" si="31"/>
        <v>0</v>
      </c>
      <c r="X73" s="108">
        <f t="shared" si="32"/>
        <v>0.5</v>
      </c>
    </row>
    <row r="74" ht="15.75" customHeight="1">
      <c r="A74" s="104">
        <v>14.0</v>
      </c>
      <c r="B74" s="105">
        <f t="shared" si="11"/>
        <v>5</v>
      </c>
      <c r="C74" s="55" t="s">
        <v>286</v>
      </c>
      <c r="D74" s="106">
        <f t="shared" si="12"/>
        <v>5</v>
      </c>
      <c r="E74" s="107">
        <f t="shared" si="13"/>
        <v>0</v>
      </c>
      <c r="F74" s="108">
        <f t="shared" si="14"/>
        <v>0.5</v>
      </c>
      <c r="G74" s="108">
        <f t="shared" si="15"/>
        <v>0</v>
      </c>
      <c r="H74" s="108">
        <f t="shared" si="16"/>
        <v>0.5</v>
      </c>
      <c r="I74" s="108">
        <f t="shared" si="17"/>
        <v>0</v>
      </c>
      <c r="J74" s="108">
        <f t="shared" si="18"/>
        <v>0</v>
      </c>
      <c r="K74" s="108">
        <f t="shared" si="19"/>
        <v>0</v>
      </c>
      <c r="L74" s="108">
        <f t="shared" si="20"/>
        <v>0</v>
      </c>
      <c r="M74" s="108">
        <f t="shared" si="21"/>
        <v>0.5</v>
      </c>
      <c r="N74" s="108">
        <f t="shared" si="22"/>
        <v>0</v>
      </c>
      <c r="O74" s="108">
        <f t="shared" si="23"/>
        <v>0.5</v>
      </c>
      <c r="P74" s="108">
        <f t="shared" si="24"/>
        <v>0.5</v>
      </c>
      <c r="Q74" s="108">
        <f t="shared" si="25"/>
        <v>0.5</v>
      </c>
      <c r="R74" s="108">
        <f t="shared" si="26"/>
        <v>0</v>
      </c>
      <c r="S74" s="108">
        <f t="shared" si="27"/>
        <v>0.5</v>
      </c>
      <c r="T74" s="108">
        <f t="shared" si="28"/>
        <v>0</v>
      </c>
      <c r="U74" s="108">
        <f t="shared" si="29"/>
        <v>0.5</v>
      </c>
      <c r="V74" s="108">
        <f t="shared" si="30"/>
        <v>0.5</v>
      </c>
      <c r="W74" s="108">
        <f t="shared" si="31"/>
        <v>0.5</v>
      </c>
      <c r="X74" s="108">
        <f t="shared" si="32"/>
        <v>0</v>
      </c>
    </row>
    <row r="75" ht="15.75" customHeight="1">
      <c r="A75" s="104">
        <v>15.0</v>
      </c>
      <c r="B75" s="105">
        <f t="shared" si="11"/>
        <v>7.5</v>
      </c>
      <c r="C75" s="55" t="s">
        <v>288</v>
      </c>
      <c r="D75" s="106">
        <f t="shared" si="12"/>
        <v>7.5</v>
      </c>
      <c r="E75" s="107">
        <f t="shared" si="13"/>
        <v>0.5</v>
      </c>
      <c r="F75" s="108">
        <f t="shared" si="14"/>
        <v>0.5</v>
      </c>
      <c r="G75" s="108">
        <f t="shared" si="15"/>
        <v>0</v>
      </c>
      <c r="H75" s="108">
        <f t="shared" si="16"/>
        <v>0.5</v>
      </c>
      <c r="I75" s="108">
        <f t="shared" si="17"/>
        <v>0.5</v>
      </c>
      <c r="J75" s="108">
        <f t="shared" si="18"/>
        <v>0</v>
      </c>
      <c r="K75" s="108">
        <f t="shared" si="19"/>
        <v>0.5</v>
      </c>
      <c r="L75" s="108">
        <f t="shared" si="20"/>
        <v>0.5</v>
      </c>
      <c r="M75" s="108">
        <f t="shared" si="21"/>
        <v>0.5</v>
      </c>
      <c r="N75" s="108">
        <f t="shared" si="22"/>
        <v>0.5</v>
      </c>
      <c r="O75" s="108">
        <f t="shared" si="23"/>
        <v>0.5</v>
      </c>
      <c r="P75" s="108">
        <f t="shared" si="24"/>
        <v>0.5</v>
      </c>
      <c r="Q75" s="108">
        <f t="shared" si="25"/>
        <v>0.5</v>
      </c>
      <c r="R75" s="108">
        <f t="shared" si="26"/>
        <v>0.5</v>
      </c>
      <c r="S75" s="108">
        <f t="shared" si="27"/>
        <v>0.5</v>
      </c>
      <c r="T75" s="108">
        <f t="shared" si="28"/>
        <v>0</v>
      </c>
      <c r="U75" s="108">
        <f t="shared" si="29"/>
        <v>0.5</v>
      </c>
      <c r="V75" s="108">
        <f t="shared" si="30"/>
        <v>0</v>
      </c>
      <c r="W75" s="108">
        <f t="shared" si="31"/>
        <v>0.5</v>
      </c>
      <c r="X75" s="108">
        <f t="shared" si="32"/>
        <v>0</v>
      </c>
    </row>
    <row r="76" ht="15.75" customHeight="1">
      <c r="A76" s="104">
        <v>16.0</v>
      </c>
      <c r="B76" s="105">
        <f t="shared" si="11"/>
        <v>5</v>
      </c>
      <c r="C76" s="55" t="s">
        <v>290</v>
      </c>
      <c r="D76" s="106">
        <f t="shared" si="12"/>
        <v>5</v>
      </c>
      <c r="E76" s="107">
        <f t="shared" si="13"/>
        <v>0</v>
      </c>
      <c r="F76" s="108">
        <f t="shared" si="14"/>
        <v>0</v>
      </c>
      <c r="G76" s="108">
        <f t="shared" si="15"/>
        <v>0</v>
      </c>
      <c r="H76" s="108">
        <f t="shared" si="16"/>
        <v>0.5</v>
      </c>
      <c r="I76" s="108">
        <f t="shared" si="17"/>
        <v>0.5</v>
      </c>
      <c r="J76" s="108">
        <f t="shared" si="18"/>
        <v>0</v>
      </c>
      <c r="K76" s="108">
        <f t="shared" si="19"/>
        <v>0</v>
      </c>
      <c r="L76" s="108">
        <f t="shared" si="20"/>
        <v>0.5</v>
      </c>
      <c r="M76" s="108">
        <f t="shared" si="21"/>
        <v>0</v>
      </c>
      <c r="N76" s="108">
        <f t="shared" si="22"/>
        <v>0.5</v>
      </c>
      <c r="O76" s="108">
        <f t="shared" si="23"/>
        <v>0.5</v>
      </c>
      <c r="P76" s="108">
        <f t="shared" si="24"/>
        <v>0.5</v>
      </c>
      <c r="Q76" s="108">
        <f t="shared" si="25"/>
        <v>0.5</v>
      </c>
      <c r="R76" s="108">
        <f t="shared" si="26"/>
        <v>0</v>
      </c>
      <c r="S76" s="108">
        <f t="shared" si="27"/>
        <v>0</v>
      </c>
      <c r="T76" s="108">
        <f t="shared" si="28"/>
        <v>0</v>
      </c>
      <c r="U76" s="108">
        <f t="shared" si="29"/>
        <v>0.5</v>
      </c>
      <c r="V76" s="108">
        <f t="shared" si="30"/>
        <v>0.5</v>
      </c>
      <c r="W76" s="108">
        <f t="shared" si="31"/>
        <v>0.5</v>
      </c>
      <c r="X76" s="108">
        <f t="shared" si="32"/>
        <v>0</v>
      </c>
    </row>
    <row r="77" ht="15.75" customHeight="1">
      <c r="A77" s="104">
        <v>17.0</v>
      </c>
      <c r="B77" s="105">
        <f t="shared" si="11"/>
        <v>4.5</v>
      </c>
      <c r="C77" s="55" t="s">
        <v>292</v>
      </c>
      <c r="D77" s="106">
        <f t="shared" si="12"/>
        <v>4.5</v>
      </c>
      <c r="E77" s="107">
        <f t="shared" si="13"/>
        <v>0.5</v>
      </c>
      <c r="F77" s="108">
        <f t="shared" si="14"/>
        <v>0.5</v>
      </c>
      <c r="G77" s="108">
        <f t="shared" si="15"/>
        <v>0</v>
      </c>
      <c r="H77" s="108">
        <f t="shared" si="16"/>
        <v>0.5</v>
      </c>
      <c r="I77" s="108">
        <f t="shared" si="17"/>
        <v>0</v>
      </c>
      <c r="J77" s="108">
        <f t="shared" si="18"/>
        <v>0</v>
      </c>
      <c r="K77" s="108">
        <f t="shared" si="19"/>
        <v>0.5</v>
      </c>
      <c r="L77" s="108">
        <f t="shared" si="20"/>
        <v>0</v>
      </c>
      <c r="M77" s="108">
        <f t="shared" si="21"/>
        <v>0</v>
      </c>
      <c r="N77" s="108">
        <f t="shared" si="22"/>
        <v>0</v>
      </c>
      <c r="O77" s="108">
        <f t="shared" si="23"/>
        <v>0.5</v>
      </c>
      <c r="P77" s="108">
        <f t="shared" si="24"/>
        <v>0.5</v>
      </c>
      <c r="Q77" s="108">
        <f t="shared" si="25"/>
        <v>0.5</v>
      </c>
      <c r="R77" s="108">
        <f t="shared" si="26"/>
        <v>0</v>
      </c>
      <c r="S77" s="108">
        <f t="shared" si="27"/>
        <v>0</v>
      </c>
      <c r="T77" s="108">
        <f t="shared" si="28"/>
        <v>0</v>
      </c>
      <c r="U77" s="108">
        <f t="shared" si="29"/>
        <v>0.5</v>
      </c>
      <c r="V77" s="108">
        <f t="shared" si="30"/>
        <v>0</v>
      </c>
      <c r="W77" s="108">
        <f t="shared" si="31"/>
        <v>0.5</v>
      </c>
      <c r="X77" s="108">
        <f t="shared" si="32"/>
        <v>0</v>
      </c>
    </row>
    <row r="78" ht="15.75" customHeight="1">
      <c r="A78" s="104">
        <v>18.0</v>
      </c>
      <c r="B78" s="105">
        <f t="shared" si="11"/>
        <v>6</v>
      </c>
      <c r="C78" s="55" t="s">
        <v>294</v>
      </c>
      <c r="D78" s="106">
        <f t="shared" si="12"/>
        <v>6</v>
      </c>
      <c r="E78" s="107">
        <f t="shared" si="13"/>
        <v>0</v>
      </c>
      <c r="F78" s="108">
        <f t="shared" si="14"/>
        <v>0.5</v>
      </c>
      <c r="G78" s="108">
        <f t="shared" si="15"/>
        <v>0</v>
      </c>
      <c r="H78" s="108">
        <f t="shared" si="16"/>
        <v>0.5</v>
      </c>
      <c r="I78" s="108">
        <f t="shared" si="17"/>
        <v>0</v>
      </c>
      <c r="J78" s="108">
        <f t="shared" si="18"/>
        <v>0</v>
      </c>
      <c r="K78" s="108">
        <f t="shared" si="19"/>
        <v>0.5</v>
      </c>
      <c r="L78" s="108">
        <f t="shared" si="20"/>
        <v>0.5</v>
      </c>
      <c r="M78" s="108">
        <f t="shared" si="21"/>
        <v>0.5</v>
      </c>
      <c r="N78" s="108">
        <f t="shared" si="22"/>
        <v>0.5</v>
      </c>
      <c r="O78" s="108">
        <f t="shared" si="23"/>
        <v>0.5</v>
      </c>
      <c r="P78" s="108">
        <f t="shared" si="24"/>
        <v>0.5</v>
      </c>
      <c r="Q78" s="108">
        <f t="shared" si="25"/>
        <v>0.5</v>
      </c>
      <c r="R78" s="108">
        <f t="shared" si="26"/>
        <v>0</v>
      </c>
      <c r="S78" s="108">
        <f t="shared" si="27"/>
        <v>0.5</v>
      </c>
      <c r="T78" s="108">
        <f t="shared" si="28"/>
        <v>0</v>
      </c>
      <c r="U78" s="108">
        <f t="shared" si="29"/>
        <v>0.5</v>
      </c>
      <c r="V78" s="108">
        <f t="shared" si="30"/>
        <v>0</v>
      </c>
      <c r="W78" s="108">
        <f t="shared" si="31"/>
        <v>0.5</v>
      </c>
      <c r="X78" s="108">
        <f t="shared" si="32"/>
        <v>0</v>
      </c>
    </row>
    <row r="79" ht="15.75" customHeight="1">
      <c r="A79" s="104">
        <v>19.0</v>
      </c>
      <c r="B79" s="105">
        <f t="shared" si="11"/>
        <v>4.5</v>
      </c>
      <c r="C79" s="55" t="s">
        <v>296</v>
      </c>
      <c r="D79" s="106">
        <f t="shared" si="12"/>
        <v>4.5</v>
      </c>
      <c r="E79" s="107">
        <f t="shared" si="13"/>
        <v>0</v>
      </c>
      <c r="F79" s="108">
        <f t="shared" si="14"/>
        <v>0</v>
      </c>
      <c r="G79" s="108">
        <f t="shared" si="15"/>
        <v>0</v>
      </c>
      <c r="H79" s="108">
        <f t="shared" si="16"/>
        <v>0.5</v>
      </c>
      <c r="I79" s="108">
        <f t="shared" si="17"/>
        <v>0</v>
      </c>
      <c r="J79" s="108">
        <f t="shared" si="18"/>
        <v>0</v>
      </c>
      <c r="K79" s="108">
        <f t="shared" si="19"/>
        <v>0.5</v>
      </c>
      <c r="L79" s="108">
        <f t="shared" si="20"/>
        <v>0.5</v>
      </c>
      <c r="M79" s="108">
        <f t="shared" si="21"/>
        <v>0.5</v>
      </c>
      <c r="N79" s="108">
        <f t="shared" si="22"/>
        <v>0.5</v>
      </c>
      <c r="O79" s="108">
        <f t="shared" si="23"/>
        <v>0</v>
      </c>
      <c r="P79" s="108">
        <f t="shared" si="24"/>
        <v>0.5</v>
      </c>
      <c r="Q79" s="108">
        <f t="shared" si="25"/>
        <v>0.5</v>
      </c>
      <c r="R79" s="108">
        <f t="shared" si="26"/>
        <v>0</v>
      </c>
      <c r="S79" s="108">
        <f t="shared" si="27"/>
        <v>0</v>
      </c>
      <c r="T79" s="108">
        <f t="shared" si="28"/>
        <v>0</v>
      </c>
      <c r="U79" s="108">
        <f t="shared" si="29"/>
        <v>0.5</v>
      </c>
      <c r="V79" s="108">
        <f t="shared" si="30"/>
        <v>0.5</v>
      </c>
      <c r="W79" s="108">
        <f t="shared" si="31"/>
        <v>0</v>
      </c>
      <c r="X79" s="108">
        <f t="shared" si="32"/>
        <v>0</v>
      </c>
    </row>
    <row r="80" ht="15.75" customHeight="1">
      <c r="A80" s="104">
        <v>20.0</v>
      </c>
      <c r="B80" s="105">
        <f t="shared" si="11"/>
        <v>4.5</v>
      </c>
      <c r="C80" s="55" t="s">
        <v>298</v>
      </c>
      <c r="D80" s="106">
        <f t="shared" si="12"/>
        <v>4.5</v>
      </c>
      <c r="E80" s="107">
        <f t="shared" si="13"/>
        <v>0</v>
      </c>
      <c r="F80" s="108">
        <f t="shared" si="14"/>
        <v>0.5</v>
      </c>
      <c r="G80" s="108">
        <f t="shared" si="15"/>
        <v>0</v>
      </c>
      <c r="H80" s="108">
        <f t="shared" si="16"/>
        <v>0.5</v>
      </c>
      <c r="I80" s="108">
        <f t="shared" si="17"/>
        <v>0</v>
      </c>
      <c r="J80" s="108">
        <f t="shared" si="18"/>
        <v>0</v>
      </c>
      <c r="K80" s="108">
        <f t="shared" si="19"/>
        <v>0</v>
      </c>
      <c r="L80" s="108">
        <f t="shared" si="20"/>
        <v>0</v>
      </c>
      <c r="M80" s="108">
        <f t="shared" si="21"/>
        <v>0.5</v>
      </c>
      <c r="N80" s="108">
        <f t="shared" si="22"/>
        <v>0.5</v>
      </c>
      <c r="O80" s="108">
        <f t="shared" si="23"/>
        <v>0.5</v>
      </c>
      <c r="P80" s="108">
        <f t="shared" si="24"/>
        <v>0.5</v>
      </c>
      <c r="Q80" s="108">
        <f t="shared" si="25"/>
        <v>0.5</v>
      </c>
      <c r="R80" s="108">
        <f t="shared" si="26"/>
        <v>0</v>
      </c>
      <c r="S80" s="108">
        <f t="shared" si="27"/>
        <v>0.5</v>
      </c>
      <c r="T80" s="108">
        <f t="shared" si="28"/>
        <v>0</v>
      </c>
      <c r="U80" s="108">
        <f t="shared" si="29"/>
        <v>0</v>
      </c>
      <c r="V80" s="108">
        <f t="shared" si="30"/>
        <v>0</v>
      </c>
      <c r="W80" s="108">
        <f t="shared" si="31"/>
        <v>0</v>
      </c>
      <c r="X80" s="108">
        <f t="shared" si="32"/>
        <v>0.5</v>
      </c>
    </row>
    <row r="81" ht="15.75" customHeight="1">
      <c r="A81" s="104">
        <v>21.0</v>
      </c>
      <c r="B81" s="105">
        <f t="shared" si="11"/>
        <v>4</v>
      </c>
      <c r="C81" s="55" t="s">
        <v>300</v>
      </c>
      <c r="D81" s="106">
        <f t="shared" si="12"/>
        <v>4</v>
      </c>
      <c r="E81" s="107">
        <f t="shared" si="13"/>
        <v>0</v>
      </c>
      <c r="F81" s="108">
        <f t="shared" si="14"/>
        <v>0</v>
      </c>
      <c r="G81" s="108">
        <f t="shared" si="15"/>
        <v>0</v>
      </c>
      <c r="H81" s="108">
        <f t="shared" si="16"/>
        <v>0.5</v>
      </c>
      <c r="I81" s="108">
        <f t="shared" si="17"/>
        <v>0</v>
      </c>
      <c r="J81" s="108">
        <f t="shared" si="18"/>
        <v>0.5</v>
      </c>
      <c r="K81" s="108">
        <f t="shared" si="19"/>
        <v>0.5</v>
      </c>
      <c r="L81" s="108">
        <f t="shared" si="20"/>
        <v>0</v>
      </c>
      <c r="M81" s="108">
        <f t="shared" si="21"/>
        <v>0.5</v>
      </c>
      <c r="N81" s="108">
        <f t="shared" si="22"/>
        <v>0.5</v>
      </c>
      <c r="O81" s="108">
        <f t="shared" si="23"/>
        <v>0.5</v>
      </c>
      <c r="P81" s="108">
        <f t="shared" si="24"/>
        <v>0.5</v>
      </c>
      <c r="Q81" s="108">
        <f t="shared" si="25"/>
        <v>0</v>
      </c>
      <c r="R81" s="108">
        <f t="shared" si="26"/>
        <v>0</v>
      </c>
      <c r="S81" s="108">
        <f t="shared" si="27"/>
        <v>0</v>
      </c>
      <c r="T81" s="108">
        <f t="shared" si="28"/>
        <v>0</v>
      </c>
      <c r="U81" s="108">
        <f t="shared" si="29"/>
        <v>0.5</v>
      </c>
      <c r="V81" s="108">
        <f t="shared" si="30"/>
        <v>0</v>
      </c>
      <c r="W81" s="108">
        <f t="shared" si="31"/>
        <v>0</v>
      </c>
      <c r="X81" s="108">
        <f t="shared" si="32"/>
        <v>0</v>
      </c>
    </row>
    <row r="82" ht="15.75" customHeight="1">
      <c r="A82" s="104">
        <v>22.0</v>
      </c>
      <c r="B82" s="105">
        <f t="shared" si="11"/>
        <v>6</v>
      </c>
      <c r="C82" s="55" t="s">
        <v>302</v>
      </c>
      <c r="D82" s="106">
        <f t="shared" si="12"/>
        <v>6</v>
      </c>
      <c r="E82" s="107">
        <f t="shared" si="13"/>
        <v>0</v>
      </c>
      <c r="F82" s="108">
        <f t="shared" si="14"/>
        <v>0.5</v>
      </c>
      <c r="G82" s="108">
        <f t="shared" si="15"/>
        <v>0</v>
      </c>
      <c r="H82" s="108">
        <f t="shared" si="16"/>
        <v>0.5</v>
      </c>
      <c r="I82" s="108">
        <f t="shared" si="17"/>
        <v>0.5</v>
      </c>
      <c r="J82" s="108">
        <f t="shared" si="18"/>
        <v>0</v>
      </c>
      <c r="K82" s="108">
        <f t="shared" si="19"/>
        <v>0.5</v>
      </c>
      <c r="L82" s="108">
        <f t="shared" si="20"/>
        <v>0.5</v>
      </c>
      <c r="M82" s="108">
        <f t="shared" si="21"/>
        <v>0.5</v>
      </c>
      <c r="N82" s="108">
        <f t="shared" si="22"/>
        <v>0.5</v>
      </c>
      <c r="O82" s="108">
        <f t="shared" si="23"/>
        <v>0.5</v>
      </c>
      <c r="P82" s="108">
        <f t="shared" si="24"/>
        <v>0.5</v>
      </c>
      <c r="Q82" s="108">
        <f t="shared" si="25"/>
        <v>0.5</v>
      </c>
      <c r="R82" s="108">
        <f t="shared" si="26"/>
        <v>0</v>
      </c>
      <c r="S82" s="108">
        <f t="shared" si="27"/>
        <v>0.5</v>
      </c>
      <c r="T82" s="108">
        <f t="shared" si="28"/>
        <v>0</v>
      </c>
      <c r="U82" s="108">
        <f t="shared" si="29"/>
        <v>0</v>
      </c>
      <c r="V82" s="108">
        <f t="shared" si="30"/>
        <v>0</v>
      </c>
      <c r="W82" s="108">
        <f t="shared" si="31"/>
        <v>0</v>
      </c>
      <c r="X82" s="108">
        <f t="shared" si="32"/>
        <v>0.5</v>
      </c>
    </row>
    <row r="83" ht="15.75" customHeight="1">
      <c r="A83" s="104">
        <v>23.0</v>
      </c>
      <c r="B83" s="105">
        <f t="shared" si="11"/>
        <v>4</v>
      </c>
      <c r="C83" s="55" t="s">
        <v>304</v>
      </c>
      <c r="D83" s="106">
        <f t="shared" si="12"/>
        <v>4</v>
      </c>
      <c r="E83" s="107">
        <f t="shared" si="13"/>
        <v>0.5</v>
      </c>
      <c r="F83" s="108">
        <f t="shared" si="14"/>
        <v>0.5</v>
      </c>
      <c r="G83" s="108">
        <f t="shared" si="15"/>
        <v>0</v>
      </c>
      <c r="H83" s="108">
        <f t="shared" si="16"/>
        <v>0.5</v>
      </c>
      <c r="I83" s="108">
        <f t="shared" si="17"/>
        <v>0</v>
      </c>
      <c r="J83" s="108">
        <f t="shared" si="18"/>
        <v>0</v>
      </c>
      <c r="K83" s="108">
        <f t="shared" si="19"/>
        <v>0</v>
      </c>
      <c r="L83" s="108">
        <f t="shared" si="20"/>
        <v>0</v>
      </c>
      <c r="M83" s="108">
        <f t="shared" si="21"/>
        <v>0</v>
      </c>
      <c r="N83" s="108">
        <f t="shared" si="22"/>
        <v>0</v>
      </c>
      <c r="O83" s="108">
        <f t="shared" si="23"/>
        <v>0.5</v>
      </c>
      <c r="P83" s="108">
        <f t="shared" si="24"/>
        <v>0.5</v>
      </c>
      <c r="Q83" s="108">
        <f t="shared" si="25"/>
        <v>0.5</v>
      </c>
      <c r="R83" s="108">
        <f t="shared" si="26"/>
        <v>0</v>
      </c>
      <c r="S83" s="108">
        <f t="shared" si="27"/>
        <v>0.5</v>
      </c>
      <c r="T83" s="108">
        <f t="shared" si="28"/>
        <v>0</v>
      </c>
      <c r="U83" s="108">
        <f t="shared" si="29"/>
        <v>0.5</v>
      </c>
      <c r="V83" s="108">
        <f t="shared" si="30"/>
        <v>0</v>
      </c>
      <c r="W83" s="108">
        <f t="shared" si="31"/>
        <v>0</v>
      </c>
      <c r="X83" s="108">
        <f t="shared" si="32"/>
        <v>0</v>
      </c>
    </row>
    <row r="84" ht="15.75" customHeight="1">
      <c r="A84" s="104">
        <v>24.0</v>
      </c>
      <c r="B84" s="105">
        <f t="shared" si="11"/>
        <v>3</v>
      </c>
      <c r="C84" s="55" t="s">
        <v>306</v>
      </c>
      <c r="D84" s="106">
        <f t="shared" si="12"/>
        <v>3</v>
      </c>
      <c r="E84" s="107">
        <f t="shared" si="13"/>
        <v>0</v>
      </c>
      <c r="F84" s="108">
        <f t="shared" si="14"/>
        <v>0.5</v>
      </c>
      <c r="G84" s="108">
        <f t="shared" si="15"/>
        <v>0</v>
      </c>
      <c r="H84" s="108">
        <f t="shared" si="16"/>
        <v>0.5</v>
      </c>
      <c r="I84" s="108">
        <f t="shared" si="17"/>
        <v>0</v>
      </c>
      <c r="J84" s="108">
        <f t="shared" si="18"/>
        <v>0.5</v>
      </c>
      <c r="K84" s="108">
        <f t="shared" si="19"/>
        <v>0</v>
      </c>
      <c r="L84" s="108">
        <f t="shared" si="20"/>
        <v>0</v>
      </c>
      <c r="M84" s="108">
        <f t="shared" si="21"/>
        <v>0.5</v>
      </c>
      <c r="N84" s="108">
        <f t="shared" si="22"/>
        <v>0</v>
      </c>
      <c r="O84" s="108">
        <f t="shared" si="23"/>
        <v>0.5</v>
      </c>
      <c r="P84" s="108">
        <f t="shared" si="24"/>
        <v>0.5</v>
      </c>
      <c r="Q84" s="108">
        <f t="shared" si="25"/>
        <v>0</v>
      </c>
      <c r="R84" s="108">
        <f t="shared" si="26"/>
        <v>0</v>
      </c>
      <c r="S84" s="108">
        <f t="shared" si="27"/>
        <v>0</v>
      </c>
      <c r="T84" s="108">
        <f t="shared" si="28"/>
        <v>0</v>
      </c>
      <c r="U84" s="108">
        <f t="shared" si="29"/>
        <v>0</v>
      </c>
      <c r="V84" s="108">
        <f t="shared" si="30"/>
        <v>0</v>
      </c>
      <c r="W84" s="108">
        <f t="shared" si="31"/>
        <v>0</v>
      </c>
      <c r="X84" s="108">
        <f t="shared" si="32"/>
        <v>0</v>
      </c>
    </row>
    <row r="85" ht="15.75" customHeight="1">
      <c r="A85" s="104">
        <v>25.0</v>
      </c>
      <c r="B85" s="105">
        <f t="shared" si="11"/>
        <v>5.5</v>
      </c>
      <c r="C85" s="55" t="s">
        <v>308</v>
      </c>
      <c r="D85" s="106">
        <f t="shared" si="12"/>
        <v>5.5</v>
      </c>
      <c r="E85" s="107">
        <f t="shared" si="13"/>
        <v>0</v>
      </c>
      <c r="F85" s="108">
        <f t="shared" si="14"/>
        <v>0.5</v>
      </c>
      <c r="G85" s="108">
        <f t="shared" si="15"/>
        <v>0.5</v>
      </c>
      <c r="H85" s="108">
        <f t="shared" si="16"/>
        <v>0.5</v>
      </c>
      <c r="I85" s="108">
        <f t="shared" si="17"/>
        <v>0</v>
      </c>
      <c r="J85" s="108">
        <f t="shared" si="18"/>
        <v>0.5</v>
      </c>
      <c r="K85" s="108">
        <f t="shared" si="19"/>
        <v>0</v>
      </c>
      <c r="L85" s="108">
        <f t="shared" si="20"/>
        <v>0.5</v>
      </c>
      <c r="M85" s="108">
        <f t="shared" si="21"/>
        <v>0.5</v>
      </c>
      <c r="N85" s="108">
        <f t="shared" si="22"/>
        <v>0</v>
      </c>
      <c r="O85" s="108">
        <f t="shared" si="23"/>
        <v>0.5</v>
      </c>
      <c r="P85" s="108">
        <f t="shared" si="24"/>
        <v>0.5</v>
      </c>
      <c r="Q85" s="108">
        <f t="shared" si="25"/>
        <v>0.5</v>
      </c>
      <c r="R85" s="108">
        <f t="shared" si="26"/>
        <v>0</v>
      </c>
      <c r="S85" s="108">
        <f t="shared" si="27"/>
        <v>0.5</v>
      </c>
      <c r="T85" s="108">
        <f t="shared" si="28"/>
        <v>0</v>
      </c>
      <c r="U85" s="108">
        <f t="shared" si="29"/>
        <v>0.5</v>
      </c>
      <c r="V85" s="108">
        <f t="shared" si="30"/>
        <v>0</v>
      </c>
      <c r="W85" s="108">
        <f t="shared" si="31"/>
        <v>0</v>
      </c>
      <c r="X85" s="108">
        <f t="shared" si="32"/>
        <v>0</v>
      </c>
    </row>
    <row r="86" ht="15.75" customHeight="1">
      <c r="A86" s="104">
        <v>26.0</v>
      </c>
      <c r="B86" s="105">
        <f t="shared" si="11"/>
        <v>5</v>
      </c>
      <c r="C86" s="55" t="s">
        <v>310</v>
      </c>
      <c r="D86" s="106">
        <f t="shared" si="12"/>
        <v>5</v>
      </c>
      <c r="E86" s="107">
        <f t="shared" si="13"/>
        <v>0.5</v>
      </c>
      <c r="F86" s="108">
        <f t="shared" si="14"/>
        <v>0.5</v>
      </c>
      <c r="G86" s="108">
        <f t="shared" si="15"/>
        <v>0</v>
      </c>
      <c r="H86" s="108">
        <f t="shared" si="16"/>
        <v>0.5</v>
      </c>
      <c r="I86" s="108">
        <f t="shared" si="17"/>
        <v>0</v>
      </c>
      <c r="J86" s="108">
        <f t="shared" si="18"/>
        <v>0</v>
      </c>
      <c r="K86" s="108">
        <f t="shared" si="19"/>
        <v>0.5</v>
      </c>
      <c r="L86" s="108">
        <f t="shared" si="20"/>
        <v>0.5</v>
      </c>
      <c r="M86" s="108">
        <f t="shared" si="21"/>
        <v>0.5</v>
      </c>
      <c r="N86" s="108">
        <f t="shared" si="22"/>
        <v>0.5</v>
      </c>
      <c r="O86" s="108">
        <f t="shared" si="23"/>
        <v>0.5</v>
      </c>
      <c r="P86" s="108">
        <f t="shared" si="24"/>
        <v>0.5</v>
      </c>
      <c r="Q86" s="108">
        <f t="shared" si="25"/>
        <v>0.5</v>
      </c>
      <c r="R86" s="108">
        <f t="shared" si="26"/>
        <v>0</v>
      </c>
      <c r="S86" s="108">
        <f t="shared" si="27"/>
        <v>0</v>
      </c>
      <c r="T86" s="108">
        <f t="shared" si="28"/>
        <v>0</v>
      </c>
      <c r="U86" s="108">
        <f t="shared" si="29"/>
        <v>0</v>
      </c>
      <c r="V86" s="108">
        <f t="shared" si="30"/>
        <v>0</v>
      </c>
      <c r="W86" s="108">
        <f t="shared" si="31"/>
        <v>0</v>
      </c>
      <c r="X86" s="108">
        <f t="shared" si="32"/>
        <v>0</v>
      </c>
    </row>
    <row r="87" ht="15.75" customHeight="1">
      <c r="A87" s="104">
        <v>27.0</v>
      </c>
      <c r="B87" s="105">
        <f t="shared" si="11"/>
        <v>4</v>
      </c>
      <c r="C87" s="55" t="s">
        <v>312</v>
      </c>
      <c r="D87" s="106">
        <f t="shared" si="12"/>
        <v>4</v>
      </c>
      <c r="E87" s="107">
        <f t="shared" si="13"/>
        <v>0</v>
      </c>
      <c r="F87" s="108">
        <f t="shared" si="14"/>
        <v>0.5</v>
      </c>
      <c r="G87" s="108">
        <f t="shared" si="15"/>
        <v>0</v>
      </c>
      <c r="H87" s="108">
        <f t="shared" si="16"/>
        <v>0.5</v>
      </c>
      <c r="I87" s="108">
        <f t="shared" si="17"/>
        <v>0</v>
      </c>
      <c r="J87" s="108">
        <f t="shared" si="18"/>
        <v>0</v>
      </c>
      <c r="K87" s="108">
        <f t="shared" si="19"/>
        <v>0</v>
      </c>
      <c r="L87" s="108">
        <f t="shared" si="20"/>
        <v>0</v>
      </c>
      <c r="M87" s="108">
        <f t="shared" si="21"/>
        <v>0.5</v>
      </c>
      <c r="N87" s="108">
        <f t="shared" si="22"/>
        <v>0.5</v>
      </c>
      <c r="O87" s="108">
        <f t="shared" si="23"/>
        <v>0.5</v>
      </c>
      <c r="P87" s="108">
        <f t="shared" si="24"/>
        <v>0.5</v>
      </c>
      <c r="Q87" s="108">
        <f t="shared" si="25"/>
        <v>0.5</v>
      </c>
      <c r="R87" s="108">
        <f t="shared" si="26"/>
        <v>0</v>
      </c>
      <c r="S87" s="108">
        <f t="shared" si="27"/>
        <v>0</v>
      </c>
      <c r="T87" s="108">
        <f t="shared" si="28"/>
        <v>0</v>
      </c>
      <c r="U87" s="108">
        <f t="shared" si="29"/>
        <v>0</v>
      </c>
      <c r="V87" s="108">
        <f t="shared" si="30"/>
        <v>0</v>
      </c>
      <c r="W87" s="108">
        <f t="shared" si="31"/>
        <v>0</v>
      </c>
      <c r="X87" s="108">
        <f t="shared" si="32"/>
        <v>0.5</v>
      </c>
    </row>
    <row r="88" ht="15.75" customHeight="1">
      <c r="A88" s="104">
        <v>28.0</v>
      </c>
      <c r="B88" s="105">
        <f t="shared" si="11"/>
        <v>4</v>
      </c>
      <c r="C88" s="55" t="s">
        <v>314</v>
      </c>
      <c r="D88" s="106">
        <f t="shared" si="12"/>
        <v>4</v>
      </c>
      <c r="E88" s="107">
        <f t="shared" si="13"/>
        <v>0.5</v>
      </c>
      <c r="F88" s="108">
        <f t="shared" si="14"/>
        <v>0.5</v>
      </c>
      <c r="G88" s="108">
        <f t="shared" si="15"/>
        <v>0</v>
      </c>
      <c r="H88" s="108">
        <f t="shared" si="16"/>
        <v>0.5</v>
      </c>
      <c r="I88" s="108">
        <f t="shared" si="17"/>
        <v>0</v>
      </c>
      <c r="J88" s="108">
        <f t="shared" si="18"/>
        <v>0</v>
      </c>
      <c r="K88" s="108">
        <f t="shared" si="19"/>
        <v>0</v>
      </c>
      <c r="L88" s="108">
        <f t="shared" si="20"/>
        <v>0</v>
      </c>
      <c r="M88" s="108">
        <f t="shared" si="21"/>
        <v>0</v>
      </c>
      <c r="N88" s="108">
        <f t="shared" si="22"/>
        <v>0</v>
      </c>
      <c r="O88" s="108">
        <f t="shared" si="23"/>
        <v>0.5</v>
      </c>
      <c r="P88" s="108">
        <f t="shared" si="24"/>
        <v>0.5</v>
      </c>
      <c r="Q88" s="108">
        <f t="shared" si="25"/>
        <v>0</v>
      </c>
      <c r="R88" s="108">
        <f t="shared" si="26"/>
        <v>0</v>
      </c>
      <c r="S88" s="108">
        <f t="shared" si="27"/>
        <v>0</v>
      </c>
      <c r="T88" s="108">
        <f t="shared" si="28"/>
        <v>0</v>
      </c>
      <c r="U88" s="108">
        <f t="shared" si="29"/>
        <v>0.5</v>
      </c>
      <c r="V88" s="108">
        <f t="shared" si="30"/>
        <v>0.5</v>
      </c>
      <c r="W88" s="108">
        <f t="shared" si="31"/>
        <v>0.5</v>
      </c>
      <c r="X88" s="108">
        <f t="shared" si="32"/>
        <v>0</v>
      </c>
    </row>
    <row r="89" ht="15.75" customHeight="1">
      <c r="A89" s="104">
        <v>29.0</v>
      </c>
      <c r="B89" s="105">
        <f t="shared" si="11"/>
        <v>4.5</v>
      </c>
      <c r="C89" s="57" t="s">
        <v>316</v>
      </c>
      <c r="D89" s="106">
        <f t="shared" si="12"/>
        <v>4.5</v>
      </c>
      <c r="E89" s="107">
        <f t="shared" si="13"/>
        <v>0</v>
      </c>
      <c r="F89" s="108">
        <f t="shared" si="14"/>
        <v>0</v>
      </c>
      <c r="G89" s="108">
        <f t="shared" si="15"/>
        <v>0</v>
      </c>
      <c r="H89" s="108">
        <f t="shared" si="16"/>
        <v>0.5</v>
      </c>
      <c r="I89" s="108">
        <f t="shared" si="17"/>
        <v>0</v>
      </c>
      <c r="J89" s="108">
        <f t="shared" si="18"/>
        <v>0</v>
      </c>
      <c r="K89" s="108">
        <f t="shared" si="19"/>
        <v>0</v>
      </c>
      <c r="L89" s="108">
        <f t="shared" si="20"/>
        <v>0.5</v>
      </c>
      <c r="M89" s="108">
        <f t="shared" si="21"/>
        <v>0.5</v>
      </c>
      <c r="N89" s="108">
        <f t="shared" si="22"/>
        <v>0.5</v>
      </c>
      <c r="O89" s="108">
        <f t="shared" si="23"/>
        <v>0.5</v>
      </c>
      <c r="P89" s="108">
        <f t="shared" si="24"/>
        <v>0.5</v>
      </c>
      <c r="Q89" s="108">
        <f t="shared" si="25"/>
        <v>0</v>
      </c>
      <c r="R89" s="108">
        <f t="shared" si="26"/>
        <v>0</v>
      </c>
      <c r="S89" s="108">
        <f t="shared" si="27"/>
        <v>0.5</v>
      </c>
      <c r="T89" s="108">
        <f t="shared" si="28"/>
        <v>0</v>
      </c>
      <c r="U89" s="108">
        <f t="shared" si="29"/>
        <v>0.5</v>
      </c>
      <c r="V89" s="108">
        <f t="shared" si="30"/>
        <v>0.5</v>
      </c>
      <c r="W89" s="108">
        <f t="shared" si="31"/>
        <v>0</v>
      </c>
      <c r="X89" s="108">
        <f t="shared" si="32"/>
        <v>0</v>
      </c>
    </row>
    <row r="90" ht="15.75" customHeight="1">
      <c r="A90" s="104">
        <v>30.0</v>
      </c>
      <c r="B90" s="105">
        <f t="shared" si="11"/>
        <v>3.5</v>
      </c>
      <c r="C90" s="55" t="s">
        <v>318</v>
      </c>
      <c r="D90" s="106">
        <f t="shared" si="12"/>
        <v>3.5</v>
      </c>
      <c r="E90" s="107">
        <f t="shared" si="13"/>
        <v>0</v>
      </c>
      <c r="F90" s="108">
        <f t="shared" si="14"/>
        <v>0</v>
      </c>
      <c r="G90" s="108">
        <f t="shared" si="15"/>
        <v>0</v>
      </c>
      <c r="H90" s="108">
        <f t="shared" si="16"/>
        <v>0</v>
      </c>
      <c r="I90" s="108">
        <f t="shared" si="17"/>
        <v>0</v>
      </c>
      <c r="J90" s="108">
        <f t="shared" si="18"/>
        <v>0.5</v>
      </c>
      <c r="K90" s="108">
        <f t="shared" si="19"/>
        <v>0.5</v>
      </c>
      <c r="L90" s="108">
        <f t="shared" si="20"/>
        <v>0</v>
      </c>
      <c r="M90" s="108">
        <f t="shared" si="21"/>
        <v>0</v>
      </c>
      <c r="N90" s="108">
        <f t="shared" si="22"/>
        <v>0</v>
      </c>
      <c r="O90" s="108">
        <f t="shared" si="23"/>
        <v>0.5</v>
      </c>
      <c r="P90" s="108">
        <f t="shared" si="24"/>
        <v>0.5</v>
      </c>
      <c r="Q90" s="108">
        <f t="shared" si="25"/>
        <v>0.5</v>
      </c>
      <c r="R90" s="108">
        <f t="shared" si="26"/>
        <v>0</v>
      </c>
      <c r="S90" s="108">
        <f t="shared" si="27"/>
        <v>0.5</v>
      </c>
      <c r="T90" s="108">
        <f t="shared" si="28"/>
        <v>0</v>
      </c>
      <c r="U90" s="108">
        <f t="shared" si="29"/>
        <v>0.5</v>
      </c>
      <c r="V90" s="108">
        <f t="shared" si="30"/>
        <v>0</v>
      </c>
      <c r="W90" s="108">
        <f t="shared" si="31"/>
        <v>0</v>
      </c>
      <c r="X90" s="108">
        <f t="shared" si="32"/>
        <v>0</v>
      </c>
    </row>
    <row r="91" ht="15.75" customHeight="1">
      <c r="A91" s="104">
        <v>31.0</v>
      </c>
      <c r="B91" s="105">
        <f t="shared" si="11"/>
        <v>3.5</v>
      </c>
      <c r="C91" s="55" t="s">
        <v>320</v>
      </c>
      <c r="D91" s="106">
        <f t="shared" si="12"/>
        <v>3.5</v>
      </c>
      <c r="E91" s="107">
        <f t="shared" si="13"/>
        <v>0</v>
      </c>
      <c r="F91" s="108">
        <f t="shared" si="14"/>
        <v>0.5</v>
      </c>
      <c r="G91" s="108">
        <f t="shared" si="15"/>
        <v>0.5</v>
      </c>
      <c r="H91" s="108">
        <f t="shared" si="16"/>
        <v>0</v>
      </c>
      <c r="I91" s="108">
        <f t="shared" si="17"/>
        <v>0</v>
      </c>
      <c r="J91" s="108">
        <f t="shared" si="18"/>
        <v>0</v>
      </c>
      <c r="K91" s="108">
        <f t="shared" si="19"/>
        <v>0</v>
      </c>
      <c r="L91" s="108">
        <f t="shared" si="20"/>
        <v>0.5</v>
      </c>
      <c r="M91" s="108">
        <f t="shared" si="21"/>
        <v>0</v>
      </c>
      <c r="N91" s="108">
        <f t="shared" si="22"/>
        <v>0</v>
      </c>
      <c r="O91" s="108">
        <f t="shared" si="23"/>
        <v>0</v>
      </c>
      <c r="P91" s="108">
        <f t="shared" si="24"/>
        <v>0.5</v>
      </c>
      <c r="Q91" s="108">
        <f t="shared" si="25"/>
        <v>0.5</v>
      </c>
      <c r="R91" s="108">
        <f t="shared" si="26"/>
        <v>0</v>
      </c>
      <c r="S91" s="108">
        <f t="shared" si="27"/>
        <v>0</v>
      </c>
      <c r="T91" s="108">
        <f t="shared" si="28"/>
        <v>0</v>
      </c>
      <c r="U91" s="108">
        <f t="shared" si="29"/>
        <v>0.5</v>
      </c>
      <c r="V91" s="108">
        <f t="shared" si="30"/>
        <v>0</v>
      </c>
      <c r="W91" s="108">
        <f t="shared" si="31"/>
        <v>0.5</v>
      </c>
      <c r="X91" s="108">
        <f t="shared" si="32"/>
        <v>0</v>
      </c>
    </row>
    <row r="92" ht="15.75" customHeight="1">
      <c r="A92" s="109">
        <v>32.0</v>
      </c>
      <c r="B92" s="105">
        <f t="shared" si="11"/>
        <v>6.5</v>
      </c>
      <c r="C92" s="55" t="s">
        <v>322</v>
      </c>
      <c r="D92" s="106">
        <f t="shared" si="12"/>
        <v>6.5</v>
      </c>
      <c r="E92" s="107">
        <f t="shared" si="13"/>
        <v>0</v>
      </c>
      <c r="F92" s="108">
        <f t="shared" si="14"/>
        <v>0.5</v>
      </c>
      <c r="G92" s="108">
        <f t="shared" si="15"/>
        <v>0</v>
      </c>
      <c r="H92" s="108">
        <f t="shared" si="16"/>
        <v>0.5</v>
      </c>
      <c r="I92" s="108">
        <f t="shared" si="17"/>
        <v>0.5</v>
      </c>
      <c r="J92" s="108">
        <f t="shared" si="18"/>
        <v>0</v>
      </c>
      <c r="K92" s="108">
        <f t="shared" si="19"/>
        <v>0.5</v>
      </c>
      <c r="L92" s="108">
        <f t="shared" si="20"/>
        <v>0.5</v>
      </c>
      <c r="M92" s="108">
        <f t="shared" si="21"/>
        <v>0.5</v>
      </c>
      <c r="N92" s="108">
        <f t="shared" si="22"/>
        <v>0.5</v>
      </c>
      <c r="O92" s="108">
        <f t="shared" si="23"/>
        <v>0.5</v>
      </c>
      <c r="P92" s="108">
        <f t="shared" si="24"/>
        <v>0.5</v>
      </c>
      <c r="Q92" s="108">
        <f t="shared" si="25"/>
        <v>0.5</v>
      </c>
      <c r="R92" s="108">
        <f t="shared" si="26"/>
        <v>0</v>
      </c>
      <c r="S92" s="108">
        <f t="shared" si="27"/>
        <v>0.5</v>
      </c>
      <c r="T92" s="108">
        <f t="shared" si="28"/>
        <v>0</v>
      </c>
      <c r="U92" s="108">
        <f t="shared" si="29"/>
        <v>0.5</v>
      </c>
      <c r="V92" s="108">
        <f t="shared" si="30"/>
        <v>0</v>
      </c>
      <c r="W92" s="108">
        <f t="shared" si="31"/>
        <v>0.5</v>
      </c>
      <c r="X92" s="108">
        <f t="shared" si="32"/>
        <v>0</v>
      </c>
    </row>
    <row r="93" ht="15.75" customHeight="1">
      <c r="A93" s="109">
        <v>33.0</v>
      </c>
      <c r="B93" s="105">
        <f t="shared" si="11"/>
        <v>6.5</v>
      </c>
      <c r="C93" s="55" t="s">
        <v>324</v>
      </c>
      <c r="D93" s="106">
        <f t="shared" si="12"/>
        <v>6.5</v>
      </c>
      <c r="E93" s="107">
        <f t="shared" si="13"/>
        <v>0.5</v>
      </c>
      <c r="F93" s="108">
        <f t="shared" si="14"/>
        <v>0.5</v>
      </c>
      <c r="G93" s="108">
        <f t="shared" si="15"/>
        <v>0</v>
      </c>
      <c r="H93" s="108">
        <f t="shared" si="16"/>
        <v>0.5</v>
      </c>
      <c r="I93" s="108">
        <f t="shared" si="17"/>
        <v>0.5</v>
      </c>
      <c r="J93" s="108">
        <f t="shared" si="18"/>
        <v>0</v>
      </c>
      <c r="K93" s="108">
        <f t="shared" si="19"/>
        <v>0.5</v>
      </c>
      <c r="L93" s="108">
        <f t="shared" si="20"/>
        <v>0.5</v>
      </c>
      <c r="M93" s="108">
        <f t="shared" si="21"/>
        <v>0.5</v>
      </c>
      <c r="N93" s="108">
        <f t="shared" si="22"/>
        <v>0</v>
      </c>
      <c r="O93" s="108">
        <f t="shared" si="23"/>
        <v>0.5</v>
      </c>
      <c r="P93" s="108">
        <f t="shared" si="24"/>
        <v>0.5</v>
      </c>
      <c r="Q93" s="108">
        <f t="shared" si="25"/>
        <v>0.5</v>
      </c>
      <c r="R93" s="108">
        <f t="shared" si="26"/>
        <v>0</v>
      </c>
      <c r="S93" s="108">
        <f t="shared" si="27"/>
        <v>0.5</v>
      </c>
      <c r="T93" s="108">
        <f t="shared" si="28"/>
        <v>0</v>
      </c>
      <c r="U93" s="108">
        <f t="shared" si="29"/>
        <v>0.5</v>
      </c>
      <c r="V93" s="108">
        <f t="shared" si="30"/>
        <v>0</v>
      </c>
      <c r="W93" s="108">
        <f t="shared" si="31"/>
        <v>0.5</v>
      </c>
      <c r="X93" s="108">
        <f t="shared" si="32"/>
        <v>0</v>
      </c>
    </row>
    <row r="94" ht="15.75" customHeight="1">
      <c r="A94" s="109">
        <v>34.0</v>
      </c>
      <c r="B94" s="105">
        <f t="shared" si="11"/>
        <v>4</v>
      </c>
      <c r="C94" s="57" t="s">
        <v>326</v>
      </c>
      <c r="D94" s="106">
        <f t="shared" si="12"/>
        <v>4</v>
      </c>
      <c r="E94" s="107">
        <f t="shared" si="13"/>
        <v>0.5</v>
      </c>
      <c r="F94" s="108">
        <f t="shared" si="14"/>
        <v>0.5</v>
      </c>
      <c r="G94" s="108">
        <f t="shared" si="15"/>
        <v>0</v>
      </c>
      <c r="H94" s="108">
        <f t="shared" si="16"/>
        <v>0.5</v>
      </c>
      <c r="I94" s="108">
        <f t="shared" si="17"/>
        <v>0</v>
      </c>
      <c r="J94" s="108">
        <f t="shared" si="18"/>
        <v>0.5</v>
      </c>
      <c r="K94" s="108">
        <f t="shared" si="19"/>
        <v>0.5</v>
      </c>
      <c r="L94" s="108">
        <f t="shared" si="20"/>
        <v>0</v>
      </c>
      <c r="M94" s="108">
        <f t="shared" si="21"/>
        <v>0.5</v>
      </c>
      <c r="N94" s="108">
        <f t="shared" si="22"/>
        <v>0.5</v>
      </c>
      <c r="O94" s="108">
        <f t="shared" si="23"/>
        <v>0</v>
      </c>
      <c r="P94" s="108">
        <f t="shared" si="24"/>
        <v>0</v>
      </c>
      <c r="Q94" s="108">
        <f t="shared" si="25"/>
        <v>0</v>
      </c>
      <c r="R94" s="108">
        <f t="shared" si="26"/>
        <v>0</v>
      </c>
      <c r="S94" s="108">
        <f t="shared" si="27"/>
        <v>0</v>
      </c>
      <c r="T94" s="108">
        <f t="shared" si="28"/>
        <v>0</v>
      </c>
      <c r="U94" s="108">
        <f t="shared" si="29"/>
        <v>0</v>
      </c>
      <c r="V94" s="108">
        <f t="shared" si="30"/>
        <v>0</v>
      </c>
      <c r="W94" s="108">
        <f t="shared" si="31"/>
        <v>0</v>
      </c>
      <c r="X94" s="108">
        <f t="shared" si="32"/>
        <v>0.5</v>
      </c>
    </row>
    <row r="95" ht="15.75" customHeight="1">
      <c r="A95" s="110">
        <v>35.0</v>
      </c>
      <c r="B95" s="111">
        <f t="shared" si="11"/>
        <v>5.5</v>
      </c>
      <c r="C95" s="63" t="s">
        <v>328</v>
      </c>
      <c r="D95" s="112">
        <f t="shared" si="12"/>
        <v>5.5</v>
      </c>
      <c r="E95" s="113">
        <f t="shared" si="13"/>
        <v>0</v>
      </c>
      <c r="F95" s="114">
        <f t="shared" si="14"/>
        <v>0.5</v>
      </c>
      <c r="G95" s="114">
        <f t="shared" si="15"/>
        <v>0</v>
      </c>
      <c r="H95" s="114">
        <f t="shared" si="16"/>
        <v>0.5</v>
      </c>
      <c r="I95" s="114">
        <f t="shared" si="17"/>
        <v>0</v>
      </c>
      <c r="J95" s="114">
        <f t="shared" si="18"/>
        <v>0</v>
      </c>
      <c r="K95" s="114">
        <f t="shared" si="19"/>
        <v>0.5</v>
      </c>
      <c r="L95" s="114">
        <f t="shared" si="20"/>
        <v>0</v>
      </c>
      <c r="M95" s="114">
        <f t="shared" si="21"/>
        <v>0.5</v>
      </c>
      <c r="N95" s="114">
        <f t="shared" si="22"/>
        <v>0.5</v>
      </c>
      <c r="O95" s="114">
        <f t="shared" si="23"/>
        <v>0.5</v>
      </c>
      <c r="P95" s="114">
        <f t="shared" si="24"/>
        <v>0</v>
      </c>
      <c r="Q95" s="114">
        <f t="shared" si="25"/>
        <v>0.5</v>
      </c>
      <c r="R95" s="114">
        <f t="shared" si="26"/>
        <v>0.5</v>
      </c>
      <c r="S95" s="114">
        <f t="shared" si="27"/>
        <v>0.5</v>
      </c>
      <c r="T95" s="114">
        <f t="shared" si="28"/>
        <v>0</v>
      </c>
      <c r="U95" s="114">
        <f t="shared" si="29"/>
        <v>0</v>
      </c>
      <c r="V95" s="114">
        <f t="shared" si="30"/>
        <v>0</v>
      </c>
      <c r="W95" s="114">
        <f t="shared" si="31"/>
        <v>0.5</v>
      </c>
      <c r="X95" s="114">
        <f t="shared" si="32"/>
        <v>0.5</v>
      </c>
    </row>
    <row r="96" ht="15.75" customHeight="1">
      <c r="A96" s="74"/>
      <c r="B96" s="115">
        <f>SUM(B61:B95)/32</f>
        <v>4.6875</v>
      </c>
    </row>
    <row r="97" ht="15.75" customHeight="1">
      <c r="A97" s="74"/>
      <c r="B97" s="75"/>
    </row>
    <row r="98" ht="15.75" customHeight="1">
      <c r="A98" s="74"/>
      <c r="B98" s="75"/>
    </row>
    <row r="99" ht="15.75" customHeight="1">
      <c r="A99" s="74"/>
      <c r="B99" s="75"/>
    </row>
    <row r="100" ht="15.75" customHeight="1">
      <c r="A100" s="74"/>
      <c r="B100" s="75"/>
    </row>
    <row r="101" ht="15.75" customHeight="1">
      <c r="A101" s="74"/>
      <c r="B101" s="75"/>
    </row>
    <row r="102" ht="15.75" customHeight="1">
      <c r="A102" s="74"/>
      <c r="B102" s="75"/>
    </row>
    <row r="103" ht="15.75" customHeight="1">
      <c r="A103" s="74"/>
      <c r="B103" s="75"/>
    </row>
    <row r="104" ht="15.75" customHeight="1">
      <c r="A104" s="74"/>
      <c r="B104" s="75"/>
    </row>
    <row r="105" ht="15.75" customHeight="1">
      <c r="A105" s="74"/>
      <c r="B105" s="75"/>
    </row>
    <row r="106" ht="15.75" customHeight="1">
      <c r="A106" s="74"/>
      <c r="B106" s="75"/>
    </row>
    <row r="107" ht="15.75" customHeight="1">
      <c r="A107" s="74"/>
      <c r="B107" s="75"/>
    </row>
    <row r="108" ht="15.75" customHeight="1">
      <c r="A108" s="74"/>
      <c r="B108" s="75"/>
    </row>
    <row r="109" ht="15.75" customHeight="1">
      <c r="A109" s="74"/>
      <c r="B109" s="75"/>
    </row>
    <row r="110" ht="15.75" customHeight="1">
      <c r="A110" s="74"/>
      <c r="B110" s="75"/>
    </row>
    <row r="111" ht="15.75" customHeight="1">
      <c r="A111" s="74"/>
      <c r="B111" s="75"/>
    </row>
    <row r="112" ht="15.75" customHeight="1">
      <c r="A112" s="74"/>
      <c r="B112" s="75"/>
    </row>
    <row r="113" ht="15.75" customHeight="1">
      <c r="A113" s="74"/>
      <c r="B113" s="75"/>
    </row>
    <row r="114" ht="15.75" customHeight="1">
      <c r="A114" s="74"/>
      <c r="B114" s="75"/>
    </row>
    <row r="115" ht="15.75" customHeight="1">
      <c r="A115" s="74"/>
      <c r="B115" s="75"/>
    </row>
    <row r="116" ht="15.75" customHeight="1">
      <c r="A116" s="74"/>
      <c r="B116" s="75"/>
    </row>
    <row r="117" ht="15.75" customHeight="1">
      <c r="A117" s="74"/>
      <c r="B117" s="75"/>
    </row>
    <row r="118" ht="15.75" customHeight="1">
      <c r="A118" s="74"/>
      <c r="B118" s="75"/>
    </row>
    <row r="119" ht="15.75" customHeight="1">
      <c r="A119" s="74"/>
      <c r="B119" s="75"/>
    </row>
    <row r="120" ht="15.75" customHeight="1">
      <c r="A120" s="74"/>
      <c r="B120" s="75"/>
    </row>
    <row r="121" ht="15.75" customHeight="1">
      <c r="A121" s="74"/>
      <c r="B121" s="75"/>
    </row>
    <row r="122" ht="15.75" customHeight="1">
      <c r="A122" s="74"/>
      <c r="B122" s="75"/>
    </row>
    <row r="123" ht="15.75" customHeight="1">
      <c r="A123" s="74"/>
      <c r="B123" s="75"/>
    </row>
    <row r="124" ht="15.75" customHeight="1">
      <c r="A124" s="74"/>
      <c r="B124" s="75"/>
    </row>
    <row r="125" ht="15.75" customHeight="1">
      <c r="A125" s="74"/>
      <c r="B125" s="75"/>
    </row>
    <row r="126" ht="15.75" customHeight="1">
      <c r="A126" s="74"/>
      <c r="B126" s="75"/>
    </row>
    <row r="127" ht="15.75" customHeight="1">
      <c r="A127" s="74"/>
      <c r="B127" s="75"/>
    </row>
    <row r="128" ht="15.75" customHeight="1">
      <c r="A128" s="74"/>
      <c r="B128" s="75"/>
      <c r="G128" s="82" t="s">
        <v>363</v>
      </c>
      <c r="H128" s="82" t="s">
        <v>364</v>
      </c>
      <c r="I128" s="82" t="s">
        <v>365</v>
      </c>
      <c r="J128" s="82" t="s">
        <v>366</v>
      </c>
    </row>
    <row r="129" ht="15.75" customHeight="1">
      <c r="A129" s="74"/>
      <c r="B129" s="75"/>
      <c r="F129" s="82" t="s">
        <v>367</v>
      </c>
      <c r="G129" s="82">
        <v>5.51</v>
      </c>
      <c r="H129" s="82">
        <v>5.21</v>
      </c>
      <c r="I129" s="82">
        <v>4.67</v>
      </c>
      <c r="J129" s="82">
        <v>4.69</v>
      </c>
    </row>
    <row r="130" ht="15.75" customHeight="1">
      <c r="A130" s="74"/>
      <c r="B130" s="75"/>
      <c r="F130" s="82" t="s">
        <v>368</v>
      </c>
      <c r="G130" s="82">
        <v>7.27</v>
      </c>
      <c r="H130" s="82">
        <v>7.34</v>
      </c>
      <c r="I130" s="82">
        <v>6.87</v>
      </c>
      <c r="J130" s="82">
        <v>6.79</v>
      </c>
    </row>
    <row r="131" ht="15.75" customHeight="1">
      <c r="A131" s="74"/>
      <c r="B131" s="75"/>
    </row>
    <row r="132" ht="15.75" customHeight="1">
      <c r="A132" s="74"/>
      <c r="B132" s="75"/>
    </row>
    <row r="133" ht="15.75" customHeight="1">
      <c r="A133" s="74"/>
      <c r="B133" s="75"/>
    </row>
    <row r="134" ht="15.75" customHeight="1">
      <c r="A134" s="74"/>
      <c r="B134" s="75"/>
    </row>
    <row r="135" ht="15.75" customHeight="1">
      <c r="A135" s="74"/>
      <c r="B135" s="75"/>
    </row>
    <row r="136" ht="15.75" customHeight="1">
      <c r="A136" s="74"/>
      <c r="B136" s="75"/>
    </row>
    <row r="137" ht="15.75" customHeight="1">
      <c r="A137" s="74"/>
      <c r="B137" s="75"/>
    </row>
    <row r="138" ht="15.75" customHeight="1">
      <c r="A138" s="74"/>
      <c r="B138" s="75"/>
    </row>
    <row r="139" ht="15.75" customHeight="1">
      <c r="A139" s="74"/>
      <c r="B139" s="75"/>
    </row>
    <row r="140" ht="15.75" customHeight="1">
      <c r="A140" s="74"/>
      <c r="B140" s="75"/>
    </row>
    <row r="141" ht="15.75" customHeight="1">
      <c r="A141" s="74"/>
      <c r="B141" s="75"/>
    </row>
    <row r="142" ht="15.75" customHeight="1">
      <c r="A142" s="74"/>
      <c r="B142" s="75"/>
    </row>
    <row r="143" ht="15.75" customHeight="1">
      <c r="A143" s="74"/>
      <c r="B143" s="75"/>
    </row>
    <row r="144" ht="15.75" customHeight="1">
      <c r="A144" s="74"/>
      <c r="B144" s="75"/>
    </row>
    <row r="145" ht="15.75" customHeight="1">
      <c r="A145" s="74"/>
      <c r="B145" s="75"/>
    </row>
    <row r="146" ht="15.75" customHeight="1">
      <c r="A146" s="74"/>
      <c r="B146" s="75"/>
    </row>
    <row r="147" ht="15.75" customHeight="1">
      <c r="A147" s="74"/>
      <c r="B147" s="75"/>
    </row>
    <row r="148" ht="15.75" customHeight="1">
      <c r="A148" s="74"/>
      <c r="B148" s="75"/>
    </row>
    <row r="149" ht="15.75" customHeight="1">
      <c r="A149" s="74"/>
      <c r="B149" s="75"/>
    </row>
    <row r="150" ht="15.75" customHeight="1">
      <c r="A150" s="74"/>
      <c r="B150" s="75"/>
    </row>
    <row r="151" ht="15.75" customHeight="1">
      <c r="A151" s="74"/>
      <c r="B151" s="75"/>
    </row>
    <row r="152" ht="15.75" customHeight="1">
      <c r="A152" s="74"/>
      <c r="B152" s="75"/>
    </row>
    <row r="153" ht="15.75" customHeight="1">
      <c r="A153" s="74"/>
      <c r="B153" s="75"/>
    </row>
    <row r="154" ht="15.75" customHeight="1">
      <c r="A154" s="74"/>
      <c r="B154" s="75"/>
    </row>
    <row r="155" ht="15.75" customHeight="1">
      <c r="A155" s="74"/>
      <c r="B155" s="75"/>
    </row>
    <row r="156" ht="15.75" customHeight="1">
      <c r="A156" s="74"/>
      <c r="B156" s="75"/>
    </row>
    <row r="157" ht="15.75" customHeight="1">
      <c r="A157" s="74"/>
      <c r="B157" s="75"/>
    </row>
    <row r="158" ht="15.75" customHeight="1">
      <c r="A158" s="74"/>
      <c r="B158" s="75"/>
    </row>
    <row r="159" ht="15.75" customHeight="1">
      <c r="A159" s="74"/>
      <c r="B159" s="75"/>
    </row>
    <row r="160" ht="15.75" customHeight="1">
      <c r="A160" s="74"/>
      <c r="B160" s="75"/>
    </row>
    <row r="161" ht="15.75" customHeight="1">
      <c r="A161" s="74"/>
      <c r="B161" s="75"/>
    </row>
    <row r="162" ht="15.75" customHeight="1">
      <c r="A162" s="74"/>
      <c r="B162" s="75"/>
    </row>
    <row r="163" ht="15.75" customHeight="1">
      <c r="A163" s="74"/>
      <c r="B163" s="75"/>
    </row>
    <row r="164" ht="15.75" customHeight="1">
      <c r="A164" s="74"/>
      <c r="B164" s="75"/>
    </row>
    <row r="165" ht="15.75" customHeight="1">
      <c r="A165" s="74"/>
      <c r="B165" s="75"/>
    </row>
    <row r="166" ht="15.75" customHeight="1">
      <c r="A166" s="74"/>
      <c r="B166" s="75"/>
    </row>
    <row r="167" ht="15.75" customHeight="1">
      <c r="A167" s="74"/>
      <c r="B167" s="75"/>
    </row>
    <row r="168" ht="15.75" customHeight="1">
      <c r="A168" s="74"/>
      <c r="B168" s="75"/>
    </row>
    <row r="169" ht="15.75" customHeight="1">
      <c r="A169" s="74"/>
      <c r="B169" s="75"/>
    </row>
    <row r="170" ht="15.75" customHeight="1">
      <c r="A170" s="74"/>
      <c r="B170" s="75"/>
    </row>
    <row r="171" ht="15.75" customHeight="1">
      <c r="A171" s="74"/>
      <c r="B171" s="75"/>
    </row>
    <row r="172" ht="15.75" customHeight="1">
      <c r="A172" s="74"/>
      <c r="B172" s="75"/>
    </row>
    <row r="173" ht="15.75" customHeight="1">
      <c r="A173" s="74"/>
      <c r="B173" s="75"/>
    </row>
    <row r="174" ht="15.75" customHeight="1">
      <c r="A174" s="74"/>
      <c r="B174" s="75"/>
    </row>
    <row r="175" ht="15.75" customHeight="1">
      <c r="A175" s="74"/>
      <c r="B175" s="75"/>
    </row>
    <row r="176" ht="15.75" customHeight="1">
      <c r="A176" s="74"/>
      <c r="B176" s="75"/>
    </row>
    <row r="177" ht="15.75" customHeight="1">
      <c r="A177" s="74"/>
      <c r="B177" s="75"/>
    </row>
    <row r="178" ht="15.75" customHeight="1">
      <c r="A178" s="74"/>
      <c r="B178" s="75"/>
    </row>
    <row r="179" ht="15.75" customHeight="1">
      <c r="A179" s="74"/>
      <c r="B179" s="75"/>
    </row>
    <row r="180" ht="15.75" customHeight="1">
      <c r="A180" s="74"/>
      <c r="B180" s="75"/>
    </row>
    <row r="181" ht="15.75" customHeight="1">
      <c r="A181" s="74"/>
      <c r="B181" s="75"/>
    </row>
    <row r="182" ht="15.75" customHeight="1">
      <c r="A182" s="74"/>
      <c r="B182" s="75"/>
    </row>
    <row r="183" ht="15.75" customHeight="1">
      <c r="A183" s="74"/>
      <c r="B183" s="75"/>
    </row>
    <row r="184" ht="15.75" customHeight="1">
      <c r="A184" s="74"/>
      <c r="B184" s="75"/>
    </row>
    <row r="185" ht="15.75" customHeight="1">
      <c r="A185" s="74"/>
      <c r="B185" s="75"/>
    </row>
    <row r="186" ht="15.75" customHeight="1">
      <c r="A186" s="74"/>
      <c r="B186" s="75"/>
    </row>
    <row r="187" ht="15.75" customHeight="1">
      <c r="A187" s="74"/>
      <c r="B187" s="75"/>
    </row>
    <row r="188" ht="15.75" customHeight="1">
      <c r="A188" s="74"/>
      <c r="B188" s="75"/>
    </row>
    <row r="189" ht="15.75" customHeight="1">
      <c r="A189" s="74"/>
      <c r="B189" s="75"/>
    </row>
    <row r="190" ht="15.75" customHeight="1">
      <c r="A190" s="74"/>
      <c r="B190" s="75"/>
    </row>
    <row r="191" ht="15.75" customHeight="1">
      <c r="A191" s="74"/>
      <c r="B191" s="75"/>
    </row>
    <row r="192" ht="15.75" customHeight="1">
      <c r="A192" s="74"/>
      <c r="B192" s="75"/>
    </row>
    <row r="193" ht="15.75" customHeight="1">
      <c r="A193" s="74"/>
      <c r="B193" s="75"/>
    </row>
    <row r="194" ht="15.75" customHeight="1">
      <c r="A194" s="74"/>
      <c r="B194" s="75"/>
    </row>
    <row r="195" ht="15.75" customHeight="1">
      <c r="A195" s="74"/>
      <c r="B195" s="75"/>
    </row>
    <row r="196" ht="15.75" customHeight="1">
      <c r="A196" s="74"/>
      <c r="B196" s="75"/>
    </row>
    <row r="197" ht="15.75" customHeight="1">
      <c r="A197" s="74"/>
      <c r="B197" s="75"/>
    </row>
    <row r="198" ht="15.75" customHeight="1">
      <c r="A198" s="74"/>
      <c r="B198" s="75"/>
    </row>
    <row r="199" ht="15.75" customHeight="1">
      <c r="A199" s="74"/>
      <c r="B199" s="75"/>
    </row>
    <row r="200" ht="15.75" customHeight="1">
      <c r="A200" s="74"/>
      <c r="B200" s="75"/>
    </row>
    <row r="201" ht="15.75" customHeight="1">
      <c r="A201" s="74"/>
      <c r="B201" s="75"/>
    </row>
    <row r="202" ht="15.75" customHeight="1">
      <c r="A202" s="74"/>
      <c r="B202" s="75"/>
    </row>
    <row r="203" ht="15.75" customHeight="1">
      <c r="A203" s="74"/>
      <c r="B203" s="75"/>
    </row>
    <row r="204" ht="15.75" customHeight="1">
      <c r="A204" s="74"/>
      <c r="B204" s="75"/>
    </row>
    <row r="205" ht="15.75" customHeight="1">
      <c r="A205" s="74"/>
      <c r="B205" s="75"/>
    </row>
    <row r="206" ht="15.75" customHeight="1">
      <c r="A206" s="74"/>
      <c r="B206" s="75"/>
    </row>
    <row r="207" ht="15.75" customHeight="1">
      <c r="A207" s="74"/>
      <c r="B207" s="75"/>
    </row>
    <row r="208" ht="15.75" customHeight="1">
      <c r="A208" s="74"/>
      <c r="B208" s="75"/>
    </row>
    <row r="209" ht="15.75" customHeight="1">
      <c r="A209" s="74"/>
      <c r="B209" s="75"/>
    </row>
    <row r="210" ht="15.75" customHeight="1">
      <c r="A210" s="74"/>
      <c r="B210" s="75"/>
    </row>
    <row r="211" ht="15.75" customHeight="1">
      <c r="A211" s="74"/>
      <c r="B211" s="75"/>
    </row>
    <row r="212" ht="15.75" customHeight="1">
      <c r="A212" s="74"/>
      <c r="B212" s="75"/>
    </row>
    <row r="213" ht="15.75" customHeight="1">
      <c r="A213" s="74"/>
      <c r="B213" s="75"/>
    </row>
    <row r="214" ht="15.75" customHeight="1">
      <c r="A214" s="74"/>
      <c r="B214" s="75"/>
    </row>
    <row r="215" ht="15.75" customHeight="1">
      <c r="A215" s="74"/>
      <c r="B215" s="75"/>
    </row>
    <row r="216" ht="15.75" customHeight="1">
      <c r="A216" s="74"/>
      <c r="B216" s="75"/>
    </row>
    <row r="217" ht="15.75" customHeight="1">
      <c r="A217" s="74"/>
      <c r="B217" s="75"/>
    </row>
    <row r="218" ht="15.75" customHeight="1">
      <c r="A218" s="74"/>
      <c r="B218" s="75"/>
    </row>
    <row r="219" ht="15.75" customHeight="1">
      <c r="A219" s="74"/>
      <c r="B219" s="75"/>
    </row>
    <row r="220" ht="15.75" customHeight="1">
      <c r="A220" s="74"/>
      <c r="B220" s="75"/>
    </row>
    <row r="221" ht="15.75" customHeight="1">
      <c r="A221" s="74"/>
      <c r="B221" s="75"/>
    </row>
    <row r="222" ht="15.75" customHeight="1">
      <c r="A222" s="74"/>
      <c r="B222" s="75"/>
    </row>
    <row r="223" ht="15.75" customHeight="1">
      <c r="A223" s="74"/>
      <c r="B223" s="75"/>
    </row>
    <row r="224" ht="15.75" customHeight="1">
      <c r="A224" s="74"/>
      <c r="B224" s="75"/>
    </row>
    <row r="225" ht="15.75" customHeight="1">
      <c r="A225" s="74"/>
      <c r="B225" s="75"/>
    </row>
    <row r="226" ht="15.75" customHeight="1">
      <c r="A226" s="74"/>
      <c r="B226" s="75"/>
    </row>
    <row r="227" ht="15.75" customHeight="1">
      <c r="A227" s="74"/>
      <c r="B227" s="75"/>
    </row>
    <row r="228" ht="15.75" customHeight="1">
      <c r="A228" s="74"/>
      <c r="B228" s="75"/>
    </row>
    <row r="229" ht="15.75" customHeight="1">
      <c r="A229" s="74"/>
      <c r="B229" s="75"/>
    </row>
    <row r="230" ht="15.75" customHeight="1">
      <c r="A230" s="74"/>
      <c r="B230" s="75"/>
    </row>
    <row r="231" ht="15.75" customHeight="1">
      <c r="A231" s="74"/>
      <c r="B231" s="75"/>
    </row>
    <row r="232" ht="15.75" customHeight="1">
      <c r="A232" s="74"/>
      <c r="B232" s="75"/>
    </row>
    <row r="233" ht="15.75" customHeight="1">
      <c r="A233" s="74"/>
      <c r="B233" s="75"/>
    </row>
    <row r="234" ht="15.75" customHeight="1">
      <c r="A234" s="74"/>
      <c r="B234" s="75"/>
    </row>
    <row r="235" ht="15.75" customHeight="1">
      <c r="A235" s="74"/>
      <c r="B235" s="75"/>
    </row>
    <row r="236" ht="15.75" customHeight="1">
      <c r="A236" s="74"/>
      <c r="B236" s="75"/>
    </row>
    <row r="237" ht="15.75" customHeight="1">
      <c r="A237" s="74"/>
      <c r="B237" s="75"/>
    </row>
    <row r="238" ht="15.75" customHeight="1">
      <c r="A238" s="74"/>
      <c r="B238" s="75"/>
    </row>
    <row r="239" ht="15.75" customHeight="1">
      <c r="A239" s="74"/>
      <c r="B239" s="75"/>
    </row>
    <row r="240" ht="15.75" customHeight="1">
      <c r="A240" s="74"/>
      <c r="B240" s="75"/>
    </row>
    <row r="241" ht="15.75" customHeight="1">
      <c r="A241" s="74"/>
      <c r="B241" s="75"/>
    </row>
    <row r="242" ht="15.75" customHeight="1">
      <c r="A242" s="74"/>
      <c r="B242" s="75"/>
    </row>
    <row r="243" ht="15.75" customHeight="1">
      <c r="A243" s="74"/>
      <c r="B243" s="75"/>
    </row>
    <row r="244" ht="15.75" customHeight="1">
      <c r="A244" s="74"/>
      <c r="B244" s="75"/>
    </row>
    <row r="245" ht="15.75" customHeight="1">
      <c r="A245" s="74"/>
      <c r="B245" s="75"/>
    </row>
    <row r="246" ht="15.75" customHeight="1">
      <c r="A246" s="74"/>
      <c r="B246" s="75"/>
    </row>
    <row r="247" ht="15.75" customHeight="1">
      <c r="A247" s="74"/>
      <c r="B247" s="75"/>
    </row>
    <row r="248" ht="15.75" customHeight="1">
      <c r="A248" s="74"/>
      <c r="B248" s="75"/>
    </row>
    <row r="249" ht="15.75" customHeight="1">
      <c r="A249" s="74"/>
      <c r="B249" s="75"/>
    </row>
    <row r="250" ht="15.75" customHeight="1">
      <c r="A250" s="74"/>
      <c r="B250" s="75"/>
    </row>
    <row r="251" ht="15.75" customHeight="1">
      <c r="A251" s="74"/>
      <c r="B251" s="75"/>
    </row>
    <row r="252" ht="15.75" customHeight="1">
      <c r="A252" s="74"/>
      <c r="B252" s="75"/>
    </row>
    <row r="253" ht="15.75" customHeight="1">
      <c r="A253" s="74"/>
      <c r="B253" s="75"/>
    </row>
    <row r="254" ht="15.75" customHeight="1">
      <c r="A254" s="74"/>
      <c r="B254" s="75"/>
    </row>
    <row r="255" ht="15.75" customHeight="1">
      <c r="A255" s="74"/>
      <c r="B255" s="75"/>
    </row>
    <row r="256" ht="15.75" customHeight="1">
      <c r="A256" s="74"/>
      <c r="B256" s="75"/>
    </row>
    <row r="257" ht="15.75" customHeight="1">
      <c r="A257" s="74"/>
      <c r="B257" s="75"/>
    </row>
    <row r="258" ht="15.75" customHeight="1">
      <c r="A258" s="74"/>
      <c r="B258" s="75"/>
    </row>
    <row r="259" ht="15.75" customHeight="1">
      <c r="A259" s="74"/>
      <c r="B259" s="75"/>
    </row>
    <row r="260" ht="15.75" customHeight="1">
      <c r="A260" s="74"/>
      <c r="B260" s="75"/>
    </row>
    <row r="261" ht="15.75" customHeight="1">
      <c r="A261" s="74"/>
      <c r="B261" s="75"/>
    </row>
    <row r="262" ht="15.75" customHeight="1">
      <c r="A262" s="74"/>
      <c r="B262" s="75"/>
    </row>
    <row r="263" ht="15.75" customHeight="1">
      <c r="A263" s="74"/>
      <c r="B263" s="75"/>
    </row>
    <row r="264" ht="15.75" customHeight="1">
      <c r="A264" s="74"/>
      <c r="B264" s="75"/>
    </row>
    <row r="265" ht="15.75" customHeight="1">
      <c r="A265" s="74"/>
      <c r="B265" s="75"/>
    </row>
    <row r="266" ht="15.75" customHeight="1">
      <c r="A266" s="74"/>
      <c r="B266" s="75"/>
    </row>
    <row r="267" ht="15.75" customHeight="1">
      <c r="A267" s="74"/>
      <c r="B267" s="75"/>
    </row>
    <row r="268" ht="15.75" customHeight="1">
      <c r="A268" s="74"/>
      <c r="B268" s="75"/>
    </row>
    <row r="269" ht="15.75" customHeight="1">
      <c r="A269" s="74"/>
      <c r="B269" s="75"/>
    </row>
    <row r="270" ht="15.75" customHeight="1">
      <c r="A270" s="74"/>
      <c r="B270" s="75"/>
    </row>
    <row r="271" ht="15.75" customHeight="1">
      <c r="A271" s="74"/>
      <c r="B271" s="75"/>
    </row>
    <row r="272" ht="15.75" customHeight="1">
      <c r="A272" s="74"/>
      <c r="B272" s="75"/>
    </row>
    <row r="273" ht="15.75" customHeight="1">
      <c r="A273" s="74"/>
      <c r="B273" s="75"/>
    </row>
    <row r="274" ht="15.75" customHeight="1">
      <c r="A274" s="74"/>
      <c r="B274" s="75"/>
    </row>
    <row r="275" ht="15.75" customHeight="1">
      <c r="A275" s="74"/>
      <c r="B275" s="75"/>
    </row>
    <row r="276" ht="15.75" customHeight="1">
      <c r="A276" s="74"/>
      <c r="B276" s="75"/>
    </row>
    <row r="277" ht="15.75" customHeight="1">
      <c r="A277" s="74"/>
      <c r="B277" s="75"/>
    </row>
    <row r="278" ht="15.75" customHeight="1">
      <c r="A278" s="74"/>
      <c r="B278" s="75"/>
    </row>
    <row r="279" ht="15.75" customHeight="1">
      <c r="A279" s="74"/>
      <c r="B279" s="75"/>
    </row>
    <row r="280" ht="15.75" customHeight="1">
      <c r="A280" s="74"/>
      <c r="B280" s="75"/>
    </row>
    <row r="281" ht="15.75" customHeight="1">
      <c r="A281" s="74"/>
      <c r="B281" s="75"/>
    </row>
    <row r="282" ht="15.75" customHeight="1">
      <c r="A282" s="74"/>
      <c r="B282" s="75"/>
    </row>
    <row r="283" ht="15.75" customHeight="1">
      <c r="A283" s="74"/>
      <c r="B283" s="75"/>
    </row>
    <row r="284" ht="15.75" customHeight="1">
      <c r="A284" s="74"/>
      <c r="B284" s="75"/>
    </row>
    <row r="285" ht="15.75" customHeight="1">
      <c r="A285" s="74"/>
      <c r="B285" s="75"/>
    </row>
    <row r="286" ht="15.75" customHeight="1">
      <c r="A286" s="74"/>
      <c r="B286" s="75"/>
    </row>
    <row r="287" ht="15.75" customHeight="1">
      <c r="A287" s="74"/>
      <c r="B287" s="75"/>
    </row>
    <row r="288" ht="15.75" customHeight="1">
      <c r="A288" s="74"/>
      <c r="B288" s="75"/>
    </row>
    <row r="289" ht="15.75" customHeight="1">
      <c r="A289" s="74"/>
      <c r="B289" s="75"/>
    </row>
    <row r="290" ht="15.75" customHeight="1">
      <c r="A290" s="74"/>
      <c r="B290" s="75"/>
    </row>
    <row r="291" ht="15.75" customHeight="1">
      <c r="A291" s="74"/>
      <c r="B291" s="75"/>
    </row>
    <row r="292" ht="15.75" customHeight="1">
      <c r="A292" s="74"/>
      <c r="B292" s="75"/>
    </row>
    <row r="293" ht="15.75" customHeight="1">
      <c r="A293" s="74"/>
      <c r="B293" s="75"/>
    </row>
    <row r="294" ht="15.75" customHeight="1">
      <c r="A294" s="74"/>
      <c r="B294" s="75"/>
    </row>
    <row r="295" ht="15.75" customHeight="1">
      <c r="A295" s="74"/>
      <c r="B295" s="75"/>
    </row>
    <row r="296" ht="15.75" customHeight="1">
      <c r="A296" s="74"/>
      <c r="B296" s="75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5">
    <mergeCell ref="C44:D44"/>
    <mergeCell ref="C45:D45"/>
    <mergeCell ref="C46:D46"/>
    <mergeCell ref="E46:F46"/>
    <mergeCell ref="C47:D47"/>
    <mergeCell ref="C49:D49"/>
    <mergeCell ref="C50:D50"/>
    <mergeCell ref="C51:D51"/>
    <mergeCell ref="A1:C1"/>
    <mergeCell ref="D1:D4"/>
    <mergeCell ref="E1:X1"/>
    <mergeCell ref="A4:C4"/>
    <mergeCell ref="A5:C5"/>
    <mergeCell ref="C42:D42"/>
    <mergeCell ref="C43:D43"/>
  </mergeCells>
  <conditionalFormatting sqref="D5:D40">
    <cfRule type="cellIs" dxfId="3" priority="1" operator="greaterThanOrEqual">
      <formula>5</formula>
    </cfRule>
  </conditionalFormatting>
  <conditionalFormatting sqref="D5:D40">
    <cfRule type="cellIs" dxfId="6" priority="2" operator="lessThan">
      <formula>5</formula>
    </cfRule>
  </conditionalFormatting>
  <conditionalFormatting sqref="E5:E40">
    <cfRule type="cellIs" dxfId="0" priority="3" operator="equal">
      <formula>"A"</formula>
    </cfRule>
  </conditionalFormatting>
  <conditionalFormatting sqref="F5:F40">
    <cfRule type="cellIs" dxfId="0" priority="4" operator="equal">
      <formula>"B"</formula>
    </cfRule>
  </conditionalFormatting>
  <conditionalFormatting sqref="I5:I40">
    <cfRule type="cellIs" dxfId="0" priority="5" operator="equal">
      <formula>"B"</formula>
    </cfRule>
  </conditionalFormatting>
  <conditionalFormatting sqref="J5:J40">
    <cfRule type="cellIs" dxfId="0" priority="6" operator="equal">
      <formula>"B"</formula>
    </cfRule>
  </conditionalFormatting>
  <conditionalFormatting sqref="L5:L40">
    <cfRule type="cellIs" dxfId="0" priority="7" operator="equal">
      <formula>"D"</formula>
    </cfRule>
  </conditionalFormatting>
  <conditionalFormatting sqref="M5:M40">
    <cfRule type="cellIs" dxfId="0" priority="8" operator="equal">
      <formula>"B"</formula>
    </cfRule>
  </conditionalFormatting>
  <conditionalFormatting sqref="N5:N40">
    <cfRule type="cellIs" dxfId="0" priority="9" operator="equal">
      <formula>"C"</formula>
    </cfRule>
  </conditionalFormatting>
  <conditionalFormatting sqref="O5:O40">
    <cfRule type="cellIs" dxfId="0" priority="10" operator="equal">
      <formula>"E"</formula>
    </cfRule>
  </conditionalFormatting>
  <conditionalFormatting sqref="Q5:Q40">
    <cfRule type="cellIs" dxfId="0" priority="11" operator="equal">
      <formula>"D"</formula>
    </cfRule>
  </conditionalFormatting>
  <conditionalFormatting sqref="R5:R40">
    <cfRule type="cellIs" dxfId="0" priority="12" operator="equal">
      <formula>"E"</formula>
    </cfRule>
  </conditionalFormatting>
  <conditionalFormatting sqref="T5:T40">
    <cfRule type="cellIs" dxfId="0" priority="13" operator="equal">
      <formula>"##"</formula>
    </cfRule>
  </conditionalFormatting>
  <conditionalFormatting sqref="V5:V40">
    <cfRule type="cellIs" dxfId="0" priority="14" operator="equal">
      <formula>"D"</formula>
    </cfRule>
  </conditionalFormatting>
  <conditionalFormatting sqref="W5:W40">
    <cfRule type="cellIs" dxfId="0" priority="15" operator="equal">
      <formula>"D"</formula>
    </cfRule>
  </conditionalFormatting>
  <conditionalFormatting sqref="E42:X42">
    <cfRule type="cellIs" dxfId="4" priority="16" operator="lessThan">
      <formula>16</formula>
    </cfRule>
  </conditionalFormatting>
  <conditionalFormatting sqref="E42:X42">
    <cfRule type="cellIs" dxfId="5" priority="17" operator="greaterThan">
      <formula>16</formula>
    </cfRule>
  </conditionalFormatting>
  <conditionalFormatting sqref="E43:X43">
    <cfRule type="cellIs" dxfId="4" priority="18" operator="lessThan">
      <formula>"50%"</formula>
    </cfRule>
  </conditionalFormatting>
  <conditionalFormatting sqref="E43:X43">
    <cfRule type="cellIs" dxfId="5" priority="19" operator="greaterThanOrEqual">
      <formula>"50%"</formula>
    </cfRule>
  </conditionalFormatting>
  <conditionalFormatting sqref="E44:X44">
    <cfRule type="cellIs" dxfId="4" priority="20" operator="greaterThan">
      <formula>16</formula>
    </cfRule>
  </conditionalFormatting>
  <conditionalFormatting sqref="E44:X44">
    <cfRule type="cellIs" dxfId="5" priority="21" operator="lessThan">
      <formula>16</formula>
    </cfRule>
  </conditionalFormatting>
  <conditionalFormatting sqref="P5:P40">
    <cfRule type="cellIs" dxfId="0" priority="22" operator="equal">
      <formula>"B"</formula>
    </cfRule>
  </conditionalFormatting>
  <conditionalFormatting sqref="S5:S40">
    <cfRule type="cellIs" dxfId="0" priority="23" operator="equal">
      <formula>"C"</formula>
    </cfRule>
  </conditionalFormatting>
  <conditionalFormatting sqref="H5:H40">
    <cfRule type="cellIs" dxfId="0" priority="24" operator="equal">
      <formula>"B"</formula>
    </cfRule>
  </conditionalFormatting>
  <conditionalFormatting sqref="K5:K40">
    <cfRule type="cellIs" dxfId="0" priority="25" operator="equal">
      <formula>"D"</formula>
    </cfRule>
  </conditionalFormatting>
  <conditionalFormatting sqref="U5:U40">
    <cfRule type="cellIs" dxfId="0" priority="26" operator="equal">
      <formula>"D"</formula>
    </cfRule>
  </conditionalFormatting>
  <conditionalFormatting sqref="G5:G40">
    <cfRule type="cellIs" dxfId="0" priority="27" operator="equal">
      <formula>"C"</formula>
    </cfRule>
  </conditionalFormatting>
  <conditionalFormatting sqref="X5:X40">
    <cfRule type="cellIs" dxfId="0" priority="28" operator="equal">
      <formula>"C"</formula>
    </cfRule>
  </conditionalFormatting>
  <conditionalFormatting sqref="D60:X95">
    <cfRule type="cellIs" dxfId="0" priority="29" operator="equal">
      <formula>0.5</formula>
    </cfRule>
  </conditionalFormatting>
  <conditionalFormatting sqref="B61:B95">
    <cfRule type="containsBlanks" dxfId="1" priority="30">
      <formula>LEN(TRIM(B61))=0</formula>
    </cfRule>
  </conditionalFormatting>
  <conditionalFormatting sqref="B61:B95">
    <cfRule type="cellIs" dxfId="1" priority="31" operator="equal">
      <formula>0</formula>
    </cfRule>
  </conditionalFormatting>
  <conditionalFormatting sqref="D5:D40">
    <cfRule type="containsBlanks" dxfId="7" priority="32">
      <formula>LEN(TRIM(D5))=0</formula>
    </cfRule>
  </conditionalFormatting>
  <conditionalFormatting sqref="E45:X45">
    <cfRule type="cellIs" dxfId="4" priority="33" operator="greaterThan">
      <formula>"50%"</formula>
    </cfRule>
  </conditionalFormatting>
  <conditionalFormatting sqref="E45:X45">
    <cfRule type="cellIs" dxfId="5" priority="34" operator="lessThan">
      <formula>"50%"</formula>
    </cfRule>
  </conditionalFormatting>
  <conditionalFormatting sqref="E47:X47">
    <cfRule type="cellIs" dxfId="8" priority="35" operator="greaterThanOrEqual">
      <formula>"50%"</formula>
    </cfRule>
  </conditionalFormatting>
  <conditionalFormatting sqref="E47:X47">
    <cfRule type="cellIs" dxfId="2" priority="36" operator="lessThan">
      <formula>"50%"</formula>
    </cfRule>
  </conditionalFormatting>
  <printOptions horizontalCentered="1"/>
  <pageMargins bottom="0.75" footer="0.0" header="0.0" left="0.25" right="0.25" top="0.75"/>
  <pageSetup fitToHeight="0" paperSize="9" orientation="landscape" pageOrder="overThenDown"/>
  <drawing r:id="rId1"/>
</worksheet>
</file>